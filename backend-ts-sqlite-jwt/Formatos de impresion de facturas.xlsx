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mb\OneDrive\Escritorio\Servicios Multiples Ayerdis\"/>
    </mc:Choice>
  </mc:AlternateContent>
  <xr:revisionPtr revIDLastSave="0" documentId="13_ncr:1_{E3EA2AF8-4159-4C12-BD5F-41E30E8A0E6B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Kaizen" sheetId="7" r:id="rId1"/>
    <sheet name="YS TEXTILES" sheetId="10" r:id="rId2"/>
    <sheet name="Texnica DOS" sheetId="6" r:id="rId3"/>
    <sheet name="TECNICA 1" sheetId="31" r:id="rId4"/>
    <sheet name="BC LOGISTIC SA" sheetId="30" r:id="rId5"/>
    <sheet name="Kentex" sheetId="15" r:id="rId6"/>
    <sheet name="Textiles Unlimited" sheetId="16" r:id="rId7"/>
    <sheet name="GF TEXTILES" sheetId="18" r:id="rId8"/>
    <sheet name="Istmo Textil" sheetId="19" r:id="rId9"/>
    <sheet name="Annic II" sheetId="26" r:id="rId10"/>
    <sheet name="Annic II (2)" sheetId="29" r:id="rId11"/>
    <sheet name="Gildan Chinandega" sheetId="23" r:id="rId12"/>
    <sheet name="Formato ventas Varias" sheetId="12" r:id="rId13"/>
    <sheet name="Gildan Rivas" sheetId="27" r:id="rId14"/>
    <sheet name="Gildan San marcos" sheetId="28" r:id="rId15"/>
  </sheets>
  <definedNames>
    <definedName name="_xlnm.Print_Area" localSheetId="9">'Annic II'!$A$1:$H$35</definedName>
    <definedName name="_xlnm.Print_Area" localSheetId="10">'Annic II (2)'!$A$1:$H$36</definedName>
    <definedName name="_xlnm.Print_Area" localSheetId="4">'BC LOGISTIC SA'!$A$1:$H$35</definedName>
    <definedName name="_xlnm.Print_Area" localSheetId="12">'Formato ventas Varias'!$A$1:$H$32</definedName>
    <definedName name="_xlnm.Print_Area" localSheetId="7">'GF TEXTILES'!$A$1:$H$35</definedName>
    <definedName name="_xlnm.Print_Area" localSheetId="11">'Gildan Chinandega'!$A$1:$H$36</definedName>
    <definedName name="_xlnm.Print_Area" localSheetId="13">'Gildan Rivas'!$A$1:$H$36</definedName>
    <definedName name="_xlnm.Print_Area" localSheetId="14">'Gildan San marcos'!$A$1:$H$35</definedName>
    <definedName name="_xlnm.Print_Area" localSheetId="8">'Istmo Textil'!$A$1:$H$37</definedName>
    <definedName name="_xlnm.Print_Area" localSheetId="0">Kaizen!$A$1:$H$40</definedName>
    <definedName name="_xlnm.Print_Area" localSheetId="5">Kentex!$A$1:$H$41</definedName>
    <definedName name="_xlnm.Print_Area" localSheetId="3">'TECNICA 1'!$A$1:$H$42</definedName>
    <definedName name="_xlnm.Print_Area" localSheetId="2">'Texnica DOS'!$A$1:$H$36</definedName>
    <definedName name="_xlnm.Print_Area" localSheetId="6">'Textiles Unlimited'!$A$1:$H$37</definedName>
    <definedName name="_xlnm.Print_Area" localSheetId="1">'YS TEXTILES'!$A$1:$H$36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6" l="1"/>
  <c r="G15" i="31"/>
  <c r="G16" i="31"/>
  <c r="G17" i="31"/>
  <c r="G8" i="26"/>
  <c r="G12" i="15"/>
  <c r="G13" i="6"/>
  <c r="G14" i="6"/>
  <c r="G15" i="6"/>
  <c r="G16" i="6"/>
  <c r="G17" i="6"/>
  <c r="G18" i="6"/>
  <c r="G19" i="6"/>
  <c r="G20" i="6"/>
  <c r="G21" i="6"/>
  <c r="G22" i="6"/>
  <c r="G23" i="6"/>
  <c r="G14" i="31"/>
  <c r="G8" i="29" l="1"/>
  <c r="G35" i="15"/>
  <c r="G13" i="18"/>
  <c r="G14" i="18"/>
  <c r="G29" i="18" s="1"/>
  <c r="G12" i="26"/>
  <c r="G8" i="28"/>
  <c r="G8" i="27"/>
  <c r="G8" i="23"/>
  <c r="G8" i="7"/>
  <c r="G12" i="31" l="1"/>
  <c r="G13" i="31"/>
  <c r="G8" i="31"/>
  <c r="J14" i="30"/>
  <c r="G12" i="30"/>
  <c r="G29" i="30" s="1"/>
  <c r="G6" i="30" s="1"/>
  <c r="G12" i="29"/>
  <c r="G12" i="28"/>
  <c r="G29" i="28"/>
  <c r="G6" i="28"/>
  <c r="G12" i="6"/>
  <c r="G13" i="27"/>
  <c r="G12" i="27"/>
  <c r="G6" i="27"/>
  <c r="G22" i="10"/>
  <c r="G21" i="10"/>
  <c r="G18" i="10"/>
  <c r="G19" i="10"/>
  <c r="G20" i="10"/>
  <c r="G12" i="10"/>
  <c r="G30" i="10" s="1"/>
  <c r="G6" i="10" s="1"/>
  <c r="G13" i="10"/>
  <c r="G14" i="10"/>
  <c r="G15" i="10"/>
  <c r="G16" i="10"/>
  <c r="G17" i="10"/>
  <c r="G12" i="23"/>
  <c r="G30" i="23" s="1"/>
  <c r="G6" i="23" s="1"/>
  <c r="G8" i="6"/>
  <c r="G11" i="12"/>
  <c r="G8" i="18"/>
  <c r="G8" i="19"/>
  <c r="G12" i="19"/>
  <c r="G32" i="19" s="1"/>
  <c r="G6" i="19" s="1"/>
  <c r="J14" i="18"/>
  <c r="G12" i="18"/>
  <c r="J14" i="16"/>
  <c r="G12" i="16"/>
  <c r="G30" i="16"/>
  <c r="G6" i="16" s="1"/>
  <c r="G8" i="15"/>
  <c r="J14" i="12"/>
  <c r="J14" i="10"/>
  <c r="G8" i="10"/>
  <c r="J13" i="7"/>
  <c r="G11" i="7"/>
  <c r="G34" i="7" s="1"/>
  <c r="G6" i="7" s="1"/>
  <c r="G36" i="31" l="1"/>
  <c r="G6" i="31" s="1"/>
  <c r="G30" i="29"/>
  <c r="G6" i="29" s="1"/>
  <c r="G6" i="18"/>
  <c r="G29" i="26"/>
  <c r="G6" i="26" s="1"/>
  <c r="G30" i="6"/>
  <c r="G6" i="6" s="1"/>
  <c r="G6" i="15"/>
</calcChain>
</file>

<file path=xl/sharedStrings.xml><?xml version="1.0" encoding="utf-8"?>
<sst xmlns="http://schemas.openxmlformats.org/spreadsheetml/2006/main" count="343" uniqueCount="175">
  <si>
    <t>TEXNICA DOS, S.A.</t>
  </si>
  <si>
    <t>DIRECCION:</t>
  </si>
  <si>
    <t>CLIENTE:</t>
  </si>
  <si>
    <t>Puente Denivel Portezuelo 800 mtrs al lago</t>
  </si>
  <si>
    <t>Managua, Nicaragua</t>
  </si>
  <si>
    <t>RUC:</t>
  </si>
  <si>
    <t>FECHA:</t>
  </si>
  <si>
    <t>MONTO:</t>
  </si>
  <si>
    <t>PLAZO:</t>
  </si>
  <si>
    <t>30 Días</t>
  </si>
  <si>
    <t>VENCIMIENTO:</t>
  </si>
  <si>
    <t>SON:</t>
  </si>
  <si>
    <t>Dustin Adonis Ayerdis Espinoza</t>
  </si>
  <si>
    <t>BANCENTRO - 117207717 - USD - Dustin Adonis Ayerdis Espinoza</t>
  </si>
  <si>
    <t xml:space="preserve">        Puente Denivel Portezuelo 800 mtrs al lago, Managua, Nicaragua</t>
  </si>
  <si>
    <t>KAIZEN, S.A.</t>
  </si>
  <si>
    <t>KENTEX, S.A.</t>
  </si>
  <si>
    <t>Total</t>
  </si>
  <si>
    <t>KM 14 1/2 Carretera nueva a Leon Modulo N8</t>
  </si>
  <si>
    <t xml:space="preserve">        KM 14 1/2 Carretera nueva a Leon Modulo N8 Managua, Nicaragua</t>
  </si>
  <si>
    <t>YS TEXTILES, S.A.</t>
  </si>
  <si>
    <t xml:space="preserve">KM 12.5 Carretera Norte modulo 30 </t>
  </si>
  <si>
    <t>Las Mercedes Managua, Nicaragua</t>
  </si>
  <si>
    <t xml:space="preserve">        KM 12.5 Carretera Norte modulo 30 Las Mercedes, Managua, Nicaragua</t>
  </si>
  <si>
    <t xml:space="preserve">J0310000405719        Orden de Compra: </t>
  </si>
  <si>
    <t>BAC -364932673 Dustin Adonis Ayerdis Espinoza</t>
  </si>
  <si>
    <t>Contado</t>
  </si>
  <si>
    <t>Textiles Unlimited, S.A.</t>
  </si>
  <si>
    <t xml:space="preserve"> Carretera Masaya 28-1/2 Km., Zona </t>
  </si>
  <si>
    <t>Franca Coyotepe, Masaya, Nicaragua</t>
  </si>
  <si>
    <t>ISTMO TEXTILES S.A</t>
  </si>
  <si>
    <t xml:space="preserve"> GF INDUSTRIES S.A</t>
  </si>
  <si>
    <t>30 dias</t>
  </si>
  <si>
    <t>Masatepe- Masaya</t>
  </si>
  <si>
    <t xml:space="preserve">     Gass Uno 1 Cuadra Oeste MASATEPE-MASAYA</t>
  </si>
  <si>
    <t>RUC</t>
  </si>
  <si>
    <t xml:space="preserve"> Gass Uno 1 Cuadra Este</t>
  </si>
  <si>
    <t xml:space="preserve"> J0310000226318      Orden de Compra:000</t>
  </si>
  <si>
    <t xml:space="preserve"> Union Fenosa 200 mts sur 100 mts est</t>
  </si>
  <si>
    <t>KM32 Carrt Masaya Granada</t>
  </si>
  <si>
    <t xml:space="preserve">      Carretera Masaya 28-1/2 Km Zona Franca Coyotepe, Masaya, Nicaragua</t>
  </si>
  <si>
    <t>Credito</t>
  </si>
  <si>
    <t xml:space="preserve"> Km 45, 1/2 carretera a la boquita, Diriamba</t>
  </si>
  <si>
    <t>Carazo</t>
  </si>
  <si>
    <t>GILDAN ACTIVEWEAR CHINANDEGA S.A</t>
  </si>
  <si>
    <t xml:space="preserve"> Zona Franca Inter. Chinandega S.A</t>
  </si>
  <si>
    <t>KM124 Carrt. Leon Chinandega</t>
  </si>
  <si>
    <t xml:space="preserve">        KM124 Carrt. Leon Chinandega, Nicaragua</t>
  </si>
  <si>
    <t xml:space="preserve">                                       RUC:J031000039746518</t>
  </si>
  <si>
    <t>BAC - 362101875- NIO - Dustin Adonis Ayerdis Espinoza</t>
  </si>
  <si>
    <t>257290-16f</t>
  </si>
  <si>
    <t>179458-05</t>
  </si>
  <si>
    <t>179459-05</t>
  </si>
  <si>
    <t xml:space="preserve"> Km 45, 1/2 carretera a la boquita, Diriamba,Carazo</t>
  </si>
  <si>
    <t>Texnica Internacional S.A</t>
  </si>
  <si>
    <t>Semaforos Portezuelo KM 5.5 Carretera Norte</t>
  </si>
  <si>
    <t>ANNIC II S.A</t>
  </si>
  <si>
    <t xml:space="preserve"> Zona Franca Las Palmeras</t>
  </si>
  <si>
    <t>KM45 1/2  San Marcos Masatepe</t>
  </si>
  <si>
    <t xml:space="preserve">                                       RUC:J0310000234752</t>
  </si>
  <si>
    <t>Code:GLD-03</t>
  </si>
  <si>
    <t xml:space="preserve">       KM45 1/2  San Marcos Masatepe, Nicaragua</t>
  </si>
  <si>
    <t>Resorte compensado</t>
  </si>
  <si>
    <t>257243-16f</t>
  </si>
  <si>
    <t>257081B64</t>
  </si>
  <si>
    <t>Diente principal</t>
  </si>
  <si>
    <t>Diente diferencial</t>
  </si>
  <si>
    <t>Placa de aguja</t>
  </si>
  <si>
    <t>Looper</t>
  </si>
  <si>
    <t>Cuchilla chain cutter</t>
  </si>
  <si>
    <t>Doscientos Noventa y nueve  con 50/100 dolares</t>
  </si>
  <si>
    <t xml:space="preserve">                       Orden de Compra:3295686</t>
  </si>
  <si>
    <t>Gildan Activewear Rivas II S.A</t>
  </si>
  <si>
    <t xml:space="preserve"> Zona Franca Nicaragua Bo Conchagua</t>
  </si>
  <si>
    <t>KM109.5 Car Panamericana Rivas</t>
  </si>
  <si>
    <t>Code:GLD-01</t>
  </si>
  <si>
    <t xml:space="preserve">                                       RUC:J0310000234779</t>
  </si>
  <si>
    <t>SPGHAR01-1144</t>
  </si>
  <si>
    <t>SPGHAR01-1145</t>
  </si>
  <si>
    <t>Sensor OMD Overlock y Coverstitch</t>
  </si>
  <si>
    <t>Sensor Magnetico PT</t>
  </si>
  <si>
    <t xml:space="preserve">       KM109.5 Car Panamericana Rivas, Nicaragua</t>
  </si>
  <si>
    <t>Ciento Diecinueve Mil Setecientos Veinte y Tres   cordobas</t>
  </si>
  <si>
    <t xml:space="preserve">                                       RUC:J0310000203423</t>
  </si>
  <si>
    <t>GILDAN ACTIVEWEAR SAN MARCOS II S.A</t>
  </si>
  <si>
    <t xml:space="preserve"> Km 45 Carre San Marcos Jinotepe</t>
  </si>
  <si>
    <t>San Marcos Carazo Nicaragua</t>
  </si>
  <si>
    <t xml:space="preserve">      Km 45 Carre San Marcos -Jinotepe</t>
  </si>
  <si>
    <t xml:space="preserve">  Cordobas</t>
  </si>
  <si>
    <t>PM20CSJ060</t>
  </si>
  <si>
    <t>Modulo Mitsubishi</t>
  </si>
  <si>
    <t>Diesciocho Mil Trescientos diez Cordobas</t>
  </si>
  <si>
    <t>T/C 36.62</t>
  </si>
  <si>
    <r>
      <t xml:space="preserve">      </t>
    </r>
    <r>
      <rPr>
        <sz val="9"/>
        <color theme="1"/>
        <rFont val="Calibri"/>
        <family val="2"/>
        <scheme val="minor"/>
      </rPr>
      <t xml:space="preserve">   Union Fenosa 200 mts sur 100 mts este KM32 Carrt Masaya Granada</t>
    </r>
  </si>
  <si>
    <t>GLD-03-1</t>
  </si>
  <si>
    <t xml:space="preserve"> BC LOGISTIC S.A</t>
  </si>
  <si>
    <t xml:space="preserve"> KM 14 1/2 Carretera nueva a Leon </t>
  </si>
  <si>
    <t xml:space="preserve">Parque SBC ALLIAN </t>
  </si>
  <si>
    <t xml:space="preserve">     J0310000383537   Orden de Compra:</t>
  </si>
  <si>
    <t>Rongon Jewelers 
Loupe</t>
  </si>
  <si>
    <t xml:space="preserve"> 
Lupa de bolsillo de 0.394 x 1.102 in Lupa cuenta Hilos</t>
  </si>
  <si>
    <t xml:space="preserve">   KM 14 1/2 Carretera nueva a Leon </t>
  </si>
  <si>
    <t xml:space="preserve">Siete Mil Doscientos Veinte y Cuatro </t>
  </si>
  <si>
    <t>201121A</t>
  </si>
  <si>
    <t>J1330000034642</t>
  </si>
  <si>
    <t>Managua,Nicaragua</t>
  </si>
  <si>
    <t>FLNR-40</t>
  </si>
  <si>
    <t>Fusible de retardo de tiempo de doble elemento 40A 250V</t>
  </si>
  <si>
    <t>Dos Mil Ochocientos Noventa y dos Cordobas</t>
  </si>
  <si>
    <t>Complejo Judicial Leon</t>
  </si>
  <si>
    <t>KM 88.5 Carretera Leon Managua</t>
  </si>
  <si>
    <t>Frente a Seminario San Agustin</t>
  </si>
  <si>
    <t xml:space="preserve">    Semaforos Portezuelo KM 5.5 Carretera Norte400 MTS Norte, Managua, Nicaragua</t>
  </si>
  <si>
    <t>Emsable, capacitacion , asesoramiento , apoyo Intalacion Sensores OMD</t>
  </si>
  <si>
    <t xml:space="preserve">                       Orden de Compra:3374772</t>
  </si>
  <si>
    <t>Sesenta y Dos Mil Novecientos Veinte y Ocho Cordobas</t>
  </si>
  <si>
    <t xml:space="preserve">                       Orden de Compra:3357936</t>
  </si>
  <si>
    <t>Emsamblaje de Sensores SPGHAR01-1144 OMD para Overlock</t>
  </si>
  <si>
    <t>Cuarenta y Cuatro Mil Ciento Sesenta</t>
  </si>
  <si>
    <t xml:space="preserve"> Cordobas</t>
  </si>
  <si>
    <t xml:space="preserve">400 MTS Norte Managua Nicaragua </t>
  </si>
  <si>
    <t>J0310000106967       Orden de Compra:JV20250813</t>
  </si>
  <si>
    <t xml:space="preserve">Luz estroboscopica Giratoria </t>
  </si>
  <si>
    <t>Seis Mil Setecientos Uno con 46/100   Cordobas</t>
  </si>
  <si>
    <t xml:space="preserve">   Cordobas</t>
  </si>
  <si>
    <t xml:space="preserve">J0310000239584        Orden de Compra: </t>
  </si>
  <si>
    <t>OIL SHIELD</t>
  </si>
  <si>
    <t>Mil Quinientos Noventa y Dos con 97/100 Cordobas</t>
  </si>
  <si>
    <t>Cuchilla Superior</t>
  </si>
  <si>
    <t>250526B910</t>
  </si>
  <si>
    <t>60 dias</t>
  </si>
  <si>
    <t xml:space="preserve">     J0310000384657   Orden de Compra:21110</t>
  </si>
  <si>
    <t>MFJ25X20-4-XT070B</t>
  </si>
  <si>
    <t>TC74VHC04FT</t>
  </si>
  <si>
    <t>P24LC08B</t>
  </si>
  <si>
    <t>CILINDRO</t>
  </si>
  <si>
    <t>INTEGRADO</t>
  </si>
  <si>
    <t>MEMORIA</t>
  </si>
  <si>
    <t xml:space="preserve">Once Mil Ciento Cincuenta y Tres con18/100  </t>
  </si>
  <si>
    <t>Cuchilla Inferior</t>
  </si>
  <si>
    <t>257472-56</t>
  </si>
  <si>
    <t>Prensatela</t>
  </si>
  <si>
    <t>Banda de tiempo</t>
  </si>
  <si>
    <t>Cuchilla</t>
  </si>
  <si>
    <t>Looper sambo Shi feng</t>
  </si>
  <si>
    <t>J0310000234990        Orden de Compra: 338</t>
  </si>
  <si>
    <t>6S0012091Y09</t>
  </si>
  <si>
    <t>Cutter MX5214</t>
  </si>
  <si>
    <t>Diez Mil Novecientos Ochenta y Seis   Cordobas</t>
  </si>
  <si>
    <t>Laina</t>
  </si>
  <si>
    <t>J0310000409188      Orden de Compra:24069</t>
  </si>
  <si>
    <t>Plancha</t>
  </si>
  <si>
    <t>277062A</t>
  </si>
  <si>
    <t>Espada</t>
  </si>
  <si>
    <t>KT664PC</t>
  </si>
  <si>
    <t>Veinte y Cuatro Mil Trescientos 80/100    Cordobas</t>
  </si>
  <si>
    <t xml:space="preserve">                       Orden de Compra:3435642</t>
  </si>
  <si>
    <t>XC-G500Y</t>
  </si>
  <si>
    <t>PROGRAMADOR MITSUBISHI</t>
  </si>
  <si>
    <t>Diez Mil   Cordobas</t>
  </si>
  <si>
    <t>J03100000196125        Orden de Compra: 53</t>
  </si>
  <si>
    <t>PLANCHA</t>
  </si>
  <si>
    <t xml:space="preserve">PRENSATELA </t>
  </si>
  <si>
    <t>250554-92</t>
  </si>
  <si>
    <t xml:space="preserve">LEVA DE LA BARRA </t>
  </si>
  <si>
    <t>CIGÜEÑAL</t>
  </si>
  <si>
    <t>BIELA DE CODO</t>
  </si>
  <si>
    <t>Doce Mil Setecientos Setenta y Nueve con 84/100   Cordobas</t>
  </si>
  <si>
    <t>Proviene de Fact 838</t>
  </si>
  <si>
    <t xml:space="preserve">                       Orden de Compra:3443239</t>
  </si>
  <si>
    <t>SPSK14M15600422</t>
  </si>
  <si>
    <t>TRANSISTOR PS21867-P</t>
  </si>
  <si>
    <t>SPSDS16X21-Y-F200926B</t>
  </si>
  <si>
    <t>CILINDRO PARA LEVANTAR</t>
  </si>
  <si>
    <t>Once Mil Quinientos Sesenta    Cordobas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</si>
</sst>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C$&quot;#,##0.00;\-&quot;C$&quot;#,##0.00"/>
    <numFmt numFmtId="164" formatCode="_-&quot;$&quot;* #,##0.00_-;\-&quot;$&quot;* #,##0.00_-;_-&quot;$&quot;* &quot;-&quot;??_-;_-@_-"/>
    <numFmt numFmtId="165" formatCode="&quot;$&quot;#,##0.00"/>
    <numFmt numFmtId="166" formatCode="[$$-540A]#,##0.00"/>
    <numFmt numFmtId="167" formatCode="[$NIO]\ #,##0.00"/>
    <numFmt numFmtId="168" formatCode="&quot;C$&quot;#,##0.00"/>
    <numFmt numFmtId="169" formatCode="&quot;C$&quot;#,##0.0000"/>
    <numFmt numFmtId="170" formatCode="_-[$$-540A]* #,##0.00_ ;_-[$$-540A]* \-#,##0.00\ ;_-[$$-540A]* &quot;-&quot;??_ ;_-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222222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5" fontId="0" fillId="0" borderId="0" xfId="1" applyNumberFormat="1" applyFont="1" applyAlignment="1">
      <alignment horizontal="right"/>
    </xf>
    <xf numFmtId="0" fontId="3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right"/>
    </xf>
    <xf numFmtId="14" fontId="3" fillId="0" borderId="0" xfId="0" applyNumberFormat="1" applyFon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1" applyNumberFormat="1" applyFont="1" applyAlignment="1">
      <alignment horizontal="right"/>
    </xf>
    <xf numFmtId="0" fontId="0" fillId="0" borderId="0" xfId="1" applyNumberFormat="1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166" fontId="7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right" vertical="center" wrapText="1"/>
    </xf>
    <xf numFmtId="165" fontId="4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right"/>
    </xf>
    <xf numFmtId="168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 wrapText="1"/>
    </xf>
    <xf numFmtId="169" fontId="0" fillId="0" borderId="0" xfId="1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1" applyNumberFormat="1" applyFont="1" applyAlignment="1">
      <alignment horizontal="right"/>
    </xf>
    <xf numFmtId="0" fontId="8" fillId="0" borderId="0" xfId="0" applyFont="1"/>
    <xf numFmtId="170" fontId="0" fillId="0" borderId="0" xfId="0" applyNumberFormat="1"/>
    <xf numFmtId="170" fontId="0" fillId="0" borderId="0" xfId="0" applyNumberFormat="1" applyAlignment="1">
      <alignment horizontal="right"/>
    </xf>
    <xf numFmtId="170" fontId="0" fillId="0" borderId="0" xfId="0" applyNumberFormat="1" applyAlignment="1">
      <alignment horizontal="center"/>
    </xf>
    <xf numFmtId="165" fontId="3" fillId="0" borderId="0" xfId="1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8" fillId="2" borderId="0" xfId="0" applyNumberFormat="1" applyFont="1" applyFill="1" applyAlignment="1">
      <alignment horizontal="right" vertical="center" wrapText="1"/>
    </xf>
    <xf numFmtId="0" fontId="8" fillId="2" borderId="0" xfId="0" applyFont="1" applyFill="1" applyAlignment="1">
      <alignment horizontal="center" wrapText="1"/>
    </xf>
    <xf numFmtId="1" fontId="10" fillId="0" borderId="0" xfId="0" applyNumberFormat="1" applyFont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68" fontId="8" fillId="0" borderId="0" xfId="0" applyNumberFormat="1" applyFont="1" applyAlignment="1">
      <alignment horizontal="right" vertical="center" wrapText="1"/>
    </xf>
    <xf numFmtId="168" fontId="0" fillId="0" borderId="0" xfId="1" applyNumberFormat="1" applyFont="1" applyBorder="1" applyAlignment="1">
      <alignment horizontal="right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68" fontId="8" fillId="0" borderId="0" xfId="1" applyNumberFormat="1" applyFont="1" applyBorder="1" applyAlignment="1">
      <alignment horizontal="right"/>
    </xf>
    <xf numFmtId="168" fontId="8" fillId="0" borderId="0" xfId="1" applyNumberFormat="1" applyFont="1" applyAlignment="1">
      <alignment horizontal="right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vertical="center"/>
    </xf>
    <xf numFmtId="168" fontId="3" fillId="0" borderId="0" xfId="0" applyNumberFormat="1" applyFont="1"/>
    <xf numFmtId="14" fontId="8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7" fontId="8" fillId="0" borderId="0" xfId="1" applyNumberFormat="1" applyFont="1" applyAlignment="1">
      <alignment horizontal="right"/>
    </xf>
    <xf numFmtId="168" fontId="7" fillId="0" borderId="0" xfId="0" applyNumberFormat="1" applyFont="1" applyAlignment="1">
      <alignment horizontal="right" vertical="center" wrapText="1"/>
    </xf>
    <xf numFmtId="166" fontId="12" fillId="0" borderId="0" xfId="0" applyNumberFormat="1" applyFont="1"/>
    <xf numFmtId="168" fontId="8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right"/>
    </xf>
    <xf numFmtId="168" fontId="10" fillId="0" borderId="0" xfId="0" applyNumberFormat="1" applyFont="1" applyAlignment="1">
      <alignment horizontal="right" vertical="center" wrapText="1"/>
    </xf>
    <xf numFmtId="168" fontId="10" fillId="0" borderId="0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166" fontId="10" fillId="0" borderId="0" xfId="0" applyNumberFormat="1" applyFont="1" applyAlignment="1">
      <alignment horizontal="right" vertical="center" wrapText="1"/>
    </xf>
    <xf numFmtId="0" fontId="10" fillId="2" borderId="0" xfId="0" applyFont="1" applyFill="1" applyAlignment="1">
      <alignment horizontal="center" vertical="center"/>
    </xf>
    <xf numFmtId="166" fontId="10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40"/>
  <sheetViews>
    <sheetView view="pageBreakPreview" topLeftCell="A4" zoomScale="115" zoomScaleNormal="100" zoomScaleSheetLayoutView="115" workbookViewId="0">
      <selection activeCell="F22" sqref="F22"/>
    </sheetView>
  </sheetViews>
  <sheetFormatPr baseColWidth="10" defaultColWidth="10.7109375" defaultRowHeight="15" x14ac:dyDescent="0.25"/>
  <cols>
    <col min="1" max="1" width="3.85546875" customWidth="1"/>
    <col min="2" max="2" width="9.140625" customWidth="1"/>
    <col min="3" max="3" width="18.140625" customWidth="1"/>
    <col min="4" max="4" width="29.140625" customWidth="1"/>
    <col min="5" max="5" width="9.140625" customWidth="1"/>
    <col min="6" max="6" width="17.85546875" customWidth="1"/>
    <col min="7" max="7" width="14.140625" customWidth="1"/>
    <col min="8" max="8" width="8.140625" customWidth="1"/>
  </cols>
  <sheetData>
    <row r="4" spans="2:10" ht="74.25" customHeight="1" x14ac:dyDescent="0.25"/>
    <row r="5" spans="2:10" ht="12.75" customHeight="1" x14ac:dyDescent="0.25">
      <c r="C5" s="1" t="s">
        <v>2</v>
      </c>
      <c r="D5" t="s">
        <v>15</v>
      </c>
      <c r="F5" s="1" t="s">
        <v>6</v>
      </c>
      <c r="G5" s="3">
        <v>45905</v>
      </c>
    </row>
    <row r="6" spans="2:10" ht="12.75" customHeight="1" x14ac:dyDescent="0.25">
      <c r="C6" s="1" t="s">
        <v>1</v>
      </c>
      <c r="D6" s="4" t="s">
        <v>42</v>
      </c>
      <c r="F6" s="1" t="s">
        <v>7</v>
      </c>
      <c r="G6" s="32">
        <f>G34</f>
        <v>1592.97</v>
      </c>
    </row>
    <row r="7" spans="2:10" ht="11.25" customHeight="1" x14ac:dyDescent="0.25">
      <c r="D7" s="4" t="s">
        <v>43</v>
      </c>
      <c r="F7" s="1" t="s">
        <v>8</v>
      </c>
      <c r="G7" s="1" t="s">
        <v>32</v>
      </c>
    </row>
    <row r="8" spans="2:10" ht="12.75" customHeight="1" x14ac:dyDescent="0.25">
      <c r="C8" s="1" t="s">
        <v>5</v>
      </c>
      <c r="D8" s="4" t="s">
        <v>125</v>
      </c>
      <c r="F8" s="1" t="s">
        <v>10</v>
      </c>
      <c r="G8" s="3">
        <f>G5+30</f>
        <v>45935</v>
      </c>
    </row>
    <row r="11" spans="2:10" ht="15.75" customHeight="1" x14ac:dyDescent="0.25">
      <c r="B11" s="80">
        <v>29</v>
      </c>
      <c r="C11" s="55">
        <v>2081092</v>
      </c>
      <c r="D11" s="80" t="s">
        <v>126</v>
      </c>
      <c r="E11" s="81"/>
      <c r="F11" s="78">
        <v>54.93</v>
      </c>
      <c r="G11" s="79">
        <f>F11*B11</f>
        <v>1592.97</v>
      </c>
    </row>
    <row r="12" spans="2:10" ht="10.5" customHeight="1" x14ac:dyDescent="0.25">
      <c r="B12" s="80"/>
      <c r="C12" s="55"/>
      <c r="D12" s="80"/>
      <c r="E12" s="81"/>
      <c r="F12" s="78"/>
      <c r="G12" s="79"/>
    </row>
    <row r="13" spans="2:10" ht="12.75" customHeight="1" x14ac:dyDescent="0.25">
      <c r="B13" s="80"/>
      <c r="C13" s="55"/>
      <c r="D13" s="80"/>
      <c r="E13" s="81"/>
      <c r="F13" s="78"/>
      <c r="G13" s="79"/>
      <c r="J13" t="str">
        <f>UPPER(D11)</f>
        <v>OIL SHIELD</v>
      </c>
    </row>
    <row r="14" spans="2:10" ht="9.75" customHeight="1" x14ac:dyDescent="0.25">
      <c r="B14" s="80"/>
      <c r="C14" s="55"/>
      <c r="D14" s="80"/>
      <c r="E14" s="81"/>
      <c r="F14" s="78"/>
      <c r="G14" s="79"/>
    </row>
    <row r="15" spans="2:10" ht="10.5" customHeight="1" x14ac:dyDescent="0.25">
      <c r="B15" s="80"/>
      <c r="C15" s="55"/>
      <c r="D15" s="80"/>
      <c r="E15" s="81"/>
      <c r="F15" s="82"/>
      <c r="G15" s="79"/>
    </row>
    <row r="16" spans="2:10" ht="12.75" customHeight="1" x14ac:dyDescent="0.25">
      <c r="B16" s="58"/>
      <c r="C16" s="56"/>
      <c r="D16" s="83"/>
      <c r="E16" s="81"/>
      <c r="F16" s="84"/>
      <c r="G16" s="79"/>
    </row>
    <row r="17" spans="2:7" ht="10.5" customHeight="1" x14ac:dyDescent="0.25">
      <c r="B17" s="58"/>
      <c r="C17" s="56"/>
      <c r="D17" s="83"/>
      <c r="E17" s="81"/>
      <c r="F17" s="84"/>
      <c r="G17" s="79"/>
    </row>
    <row r="18" spans="2:7" ht="11.25" customHeight="1" x14ac:dyDescent="0.25">
      <c r="B18" s="58"/>
      <c r="C18" s="56"/>
      <c r="D18" s="83"/>
      <c r="E18" s="81"/>
      <c r="F18" s="84"/>
      <c r="G18" s="79"/>
    </row>
    <row r="19" spans="2:7" ht="12.75" customHeight="1" x14ac:dyDescent="0.25">
      <c r="B19" s="39"/>
      <c r="C19" s="56"/>
      <c r="D19" s="51"/>
      <c r="E19" s="7"/>
      <c r="F19" s="53"/>
      <c r="G19" s="79"/>
    </row>
    <row r="20" spans="2:7" ht="23.25" customHeight="1" x14ac:dyDescent="0.25">
      <c r="B20" s="39"/>
      <c r="C20" s="56"/>
      <c r="D20" s="39"/>
      <c r="E20" s="7"/>
      <c r="F20" s="53"/>
      <c r="G20" s="79"/>
    </row>
    <row r="21" spans="2:7" ht="24" customHeight="1" x14ac:dyDescent="0.25">
      <c r="B21" s="39"/>
      <c r="C21" s="56"/>
      <c r="D21" s="39"/>
      <c r="E21" s="7"/>
      <c r="F21" s="53"/>
      <c r="G21" s="79"/>
    </row>
    <row r="22" spans="2:7" ht="12" customHeight="1" x14ac:dyDescent="0.25">
      <c r="B22" s="39"/>
      <c r="C22" s="56"/>
      <c r="D22" s="51"/>
      <c r="E22" s="7"/>
      <c r="F22" s="53"/>
      <c r="G22" s="50"/>
    </row>
    <row r="23" spans="2:7" ht="11.25" customHeight="1" x14ac:dyDescent="0.25">
      <c r="B23" s="39"/>
      <c r="C23" s="56"/>
      <c r="D23" s="51"/>
      <c r="E23" s="7"/>
      <c r="F23" s="53"/>
      <c r="G23" s="50"/>
    </row>
    <row r="24" spans="2:7" ht="9" customHeight="1" x14ac:dyDescent="0.25">
      <c r="B24" s="39"/>
      <c r="C24" s="56"/>
      <c r="D24" s="51"/>
      <c r="E24" s="7"/>
      <c r="F24" s="53"/>
      <c r="G24" s="50"/>
    </row>
    <row r="25" spans="2:7" ht="11.25" customHeight="1" x14ac:dyDescent="0.25">
      <c r="B25" s="39"/>
      <c r="C25" s="56"/>
      <c r="D25" s="51"/>
      <c r="E25" s="7"/>
      <c r="F25" s="53"/>
      <c r="G25" s="50"/>
    </row>
    <row r="26" spans="2:7" ht="9" customHeight="1" x14ac:dyDescent="0.25">
      <c r="B26" s="39"/>
      <c r="C26" s="57"/>
      <c r="D26" s="52"/>
      <c r="E26" s="7"/>
      <c r="F26" s="53"/>
      <c r="G26" s="50"/>
    </row>
    <row r="27" spans="2:7" ht="10.5" customHeight="1" x14ac:dyDescent="0.25">
      <c r="B27" s="39"/>
      <c r="C27" s="57"/>
      <c r="D27" s="52"/>
      <c r="E27" s="7"/>
      <c r="F27" s="53"/>
      <c r="G27" s="50"/>
    </row>
    <row r="28" spans="2:7" ht="10.5" customHeight="1" x14ac:dyDescent="0.25">
      <c r="B28" s="39"/>
      <c r="C28" s="57"/>
      <c r="D28" s="52"/>
      <c r="E28" s="7"/>
      <c r="F28" s="53"/>
      <c r="G28" s="50"/>
    </row>
    <row r="29" spans="2:7" ht="7.5" customHeight="1" x14ac:dyDescent="0.25">
      <c r="B29" s="26"/>
      <c r="C29" s="58"/>
      <c r="D29" s="40"/>
      <c r="E29" s="7"/>
      <c r="F29" s="41"/>
      <c r="G29" s="50"/>
    </row>
    <row r="30" spans="2:7" ht="11.25" customHeight="1" x14ac:dyDescent="0.25">
      <c r="B30" s="26"/>
      <c r="C30" s="39"/>
      <c r="D30" s="40"/>
      <c r="E30" s="16"/>
      <c r="F30" s="41"/>
      <c r="G30" s="28"/>
    </row>
    <row r="31" spans="2:7" ht="11.25" customHeight="1" x14ac:dyDescent="0.25">
      <c r="B31" s="26"/>
      <c r="C31" s="39"/>
      <c r="D31" s="40"/>
      <c r="E31" s="16"/>
      <c r="F31" s="41"/>
      <c r="G31" s="28"/>
    </row>
    <row r="32" spans="2:7" ht="11.25" customHeight="1" x14ac:dyDescent="0.25">
      <c r="B32" s="26"/>
      <c r="C32" s="39"/>
      <c r="D32" s="40"/>
      <c r="E32" s="16"/>
      <c r="F32" s="41"/>
      <c r="G32" s="28"/>
    </row>
    <row r="34" spans="3:7" x14ac:dyDescent="0.25">
      <c r="C34" s="1" t="s">
        <v>11</v>
      </c>
      <c r="D34" t="s">
        <v>127</v>
      </c>
      <c r="G34" s="32">
        <f>SUM(G11:G33)</f>
        <v>1592.97</v>
      </c>
    </row>
    <row r="37" spans="3:7" x14ac:dyDescent="0.25">
      <c r="C37" s="87" t="s">
        <v>53</v>
      </c>
      <c r="D37" s="87"/>
      <c r="E37" s="87"/>
      <c r="F37" s="87"/>
      <c r="G37" s="87"/>
    </row>
    <row r="38" spans="3:7" x14ac:dyDescent="0.25">
      <c r="E38" s="86" t="s">
        <v>12</v>
      </c>
      <c r="F38" s="86"/>
      <c r="G38" s="86"/>
    </row>
    <row r="39" spans="3:7" ht="21" customHeight="1" x14ac:dyDescent="0.25"/>
    <row r="40" spans="3:7" x14ac:dyDescent="0.25">
      <c r="D40" t="s">
        <v>13</v>
      </c>
    </row>
  </sheetData>
  <mergeCells count="2">
    <mergeCell ref="E38:G38"/>
    <mergeCell ref="C37:G37"/>
  </mergeCells>
  <phoneticPr fontId="5" type="noConversion"/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J36"/>
  <sheetViews>
    <sheetView view="pageBreakPreview" zoomScale="115" zoomScaleNormal="100" zoomScaleSheetLayoutView="115" workbookViewId="0">
      <selection activeCell="D27" sqref="D27"/>
    </sheetView>
  </sheetViews>
  <sheetFormatPr baseColWidth="10" defaultColWidth="10.7109375" defaultRowHeight="15" x14ac:dyDescent="0.25"/>
  <cols>
    <col min="1" max="1" width="3.85546875" customWidth="1"/>
    <col min="2" max="2" width="4.28515625" customWidth="1"/>
    <col min="3" max="3" width="18.140625" customWidth="1"/>
    <col min="4" max="4" width="29.140625" customWidth="1"/>
    <col min="5" max="5" width="9.140625" customWidth="1"/>
    <col min="6" max="7" width="15.85546875" customWidth="1"/>
    <col min="8" max="8" width="8.140625" customWidth="1"/>
  </cols>
  <sheetData>
    <row r="4" spans="2:10" ht="69.75" customHeight="1" x14ac:dyDescent="0.25"/>
    <row r="5" spans="2:10" ht="12.75" customHeight="1" x14ac:dyDescent="0.25">
      <c r="C5" s="1" t="s">
        <v>2</v>
      </c>
      <c r="D5" t="s">
        <v>20</v>
      </c>
      <c r="F5" s="1" t="s">
        <v>6</v>
      </c>
      <c r="G5" s="3">
        <v>45544</v>
      </c>
    </row>
    <row r="6" spans="2:10" ht="12.75" customHeight="1" x14ac:dyDescent="0.25">
      <c r="C6" s="1" t="s">
        <v>1</v>
      </c>
      <c r="D6" t="s">
        <v>21</v>
      </c>
      <c r="F6" s="1" t="s">
        <v>7</v>
      </c>
      <c r="G6" s="6">
        <f>G30</f>
        <v>290.5</v>
      </c>
    </row>
    <row r="7" spans="2:10" ht="11.25" customHeight="1" x14ac:dyDescent="0.25">
      <c r="D7" t="s">
        <v>22</v>
      </c>
      <c r="F7" s="1" t="s">
        <v>8</v>
      </c>
      <c r="G7" s="1" t="s">
        <v>9</v>
      </c>
    </row>
    <row r="8" spans="2:10" ht="12.75" customHeight="1" x14ac:dyDescent="0.25">
      <c r="C8" s="1" t="s">
        <v>5</v>
      </c>
      <c r="D8" t="s">
        <v>24</v>
      </c>
      <c r="F8" s="1" t="s">
        <v>10</v>
      </c>
      <c r="G8" s="3">
        <f>G5+30</f>
        <v>45574</v>
      </c>
    </row>
    <row r="12" spans="2:10" x14ac:dyDescent="0.25">
      <c r="B12" s="26">
        <v>50</v>
      </c>
      <c r="C12" s="26">
        <v>3107304</v>
      </c>
      <c r="D12" s="9" t="s">
        <v>62</v>
      </c>
      <c r="F12" s="27">
        <v>0.25</v>
      </c>
      <c r="G12" s="14">
        <f t="shared" ref="G12:G22" si="0">F12*B12</f>
        <v>12.5</v>
      </c>
    </row>
    <row r="13" spans="2:10" x14ac:dyDescent="0.25">
      <c r="B13" s="26">
        <v>50</v>
      </c>
      <c r="C13" s="26">
        <v>3107303</v>
      </c>
      <c r="D13" s="9" t="s">
        <v>62</v>
      </c>
      <c r="F13" s="27">
        <v>0.25</v>
      </c>
      <c r="G13" s="14">
        <f t="shared" si="0"/>
        <v>12.5</v>
      </c>
    </row>
    <row r="14" spans="2:10" x14ac:dyDescent="0.25">
      <c r="B14" s="26">
        <v>5</v>
      </c>
      <c r="C14" s="26" t="s">
        <v>50</v>
      </c>
      <c r="D14" s="9" t="s">
        <v>65</v>
      </c>
      <c r="E14" s="2"/>
      <c r="F14" s="27">
        <v>4.5</v>
      </c>
      <c r="G14" s="14">
        <f t="shared" si="0"/>
        <v>22.5</v>
      </c>
      <c r="J14" t="str">
        <f>UPPER(D12)</f>
        <v>RESORTE COMPENSADO</v>
      </c>
    </row>
    <row r="15" spans="2:10" x14ac:dyDescent="0.25">
      <c r="B15" s="26">
        <v>5</v>
      </c>
      <c r="C15" s="26" t="s">
        <v>63</v>
      </c>
      <c r="D15" s="9" t="s">
        <v>66</v>
      </c>
      <c r="F15" s="27">
        <v>4.5</v>
      </c>
      <c r="G15" s="14">
        <f t="shared" si="0"/>
        <v>22.5</v>
      </c>
    </row>
    <row r="16" spans="2:10" x14ac:dyDescent="0.25">
      <c r="B16" s="26">
        <v>5</v>
      </c>
      <c r="C16" s="26">
        <v>3011506</v>
      </c>
      <c r="D16" s="9" t="s">
        <v>67</v>
      </c>
      <c r="F16" s="27">
        <v>7</v>
      </c>
      <c r="G16" s="14">
        <f t="shared" si="0"/>
        <v>35</v>
      </c>
    </row>
    <row r="17" spans="2:7" x14ac:dyDescent="0.25">
      <c r="B17" s="26">
        <v>5</v>
      </c>
      <c r="C17" s="26" t="s">
        <v>64</v>
      </c>
      <c r="D17" s="9" t="s">
        <v>67</v>
      </c>
      <c r="E17" s="2"/>
      <c r="F17" s="27">
        <v>6.5</v>
      </c>
      <c r="G17" s="14">
        <f t="shared" si="0"/>
        <v>32.5</v>
      </c>
    </row>
    <row r="18" spans="2:7" x14ac:dyDescent="0.25">
      <c r="B18" s="26">
        <v>10</v>
      </c>
      <c r="C18" s="26">
        <v>257566</v>
      </c>
      <c r="D18" s="9" t="s">
        <v>68</v>
      </c>
      <c r="F18" s="27">
        <v>4</v>
      </c>
      <c r="G18" s="14">
        <f t="shared" si="0"/>
        <v>40</v>
      </c>
    </row>
    <row r="19" spans="2:7" x14ac:dyDescent="0.25">
      <c r="B19" s="26">
        <v>10</v>
      </c>
      <c r="C19" s="26">
        <v>257550</v>
      </c>
      <c r="D19" s="9" t="s">
        <v>68</v>
      </c>
      <c r="F19" s="27">
        <v>4.3</v>
      </c>
      <c r="G19" s="14">
        <f t="shared" si="0"/>
        <v>43</v>
      </c>
    </row>
    <row r="20" spans="2:7" x14ac:dyDescent="0.25">
      <c r="B20" s="26">
        <v>5</v>
      </c>
      <c r="C20" s="26">
        <v>277034</v>
      </c>
      <c r="D20" s="9" t="s">
        <v>68</v>
      </c>
      <c r="F20" s="27">
        <v>3.5</v>
      </c>
      <c r="G20" s="14">
        <f t="shared" si="0"/>
        <v>17.5</v>
      </c>
    </row>
    <row r="21" spans="2:7" x14ac:dyDescent="0.25">
      <c r="B21" s="26">
        <v>5</v>
      </c>
      <c r="C21" s="43" t="s">
        <v>51</v>
      </c>
      <c r="D21" s="2" t="s">
        <v>69</v>
      </c>
      <c r="F21" s="6">
        <v>5.25</v>
      </c>
      <c r="G21" s="6">
        <f t="shared" si="0"/>
        <v>26.25</v>
      </c>
    </row>
    <row r="22" spans="2:7" x14ac:dyDescent="0.25">
      <c r="B22" s="26">
        <v>5</v>
      </c>
      <c r="C22" s="44" t="s">
        <v>52</v>
      </c>
      <c r="D22" s="2" t="s">
        <v>69</v>
      </c>
      <c r="F22" s="6">
        <v>5.25</v>
      </c>
      <c r="G22" s="6">
        <f t="shared" si="0"/>
        <v>26.25</v>
      </c>
    </row>
    <row r="23" spans="2:7" x14ac:dyDescent="0.25">
      <c r="C23" s="1"/>
      <c r="D23" s="2"/>
      <c r="F23" s="6"/>
      <c r="G23" s="6"/>
    </row>
    <row r="25" spans="2:7" x14ac:dyDescent="0.25">
      <c r="C25" s="5"/>
      <c r="D25" s="2"/>
      <c r="F25" s="6"/>
      <c r="G25" s="6"/>
    </row>
    <row r="26" spans="2:7" x14ac:dyDescent="0.25">
      <c r="C26" s="5"/>
      <c r="D26" s="2"/>
      <c r="F26" s="6"/>
      <c r="G26" s="6"/>
    </row>
    <row r="27" spans="2:7" x14ac:dyDescent="0.25">
      <c r="C27" s="5"/>
      <c r="D27" s="2"/>
      <c r="F27" s="6"/>
      <c r="G27" s="6"/>
    </row>
    <row r="28" spans="2:7" x14ac:dyDescent="0.25">
      <c r="C28" s="5"/>
      <c r="D28" s="2"/>
      <c r="F28" s="6"/>
      <c r="G28" s="6"/>
    </row>
    <row r="30" spans="2:7" x14ac:dyDescent="0.25">
      <c r="C30" s="1" t="s">
        <v>11</v>
      </c>
      <c r="D30" s="88" t="s">
        <v>70</v>
      </c>
      <c r="E30" s="88"/>
      <c r="G30" s="6">
        <f>SUM(G12:G29)</f>
        <v>290.5</v>
      </c>
    </row>
    <row r="33" spans="3:7" x14ac:dyDescent="0.25">
      <c r="C33" s="86" t="s">
        <v>23</v>
      </c>
      <c r="D33" s="86"/>
      <c r="E33" s="86"/>
      <c r="F33" s="86"/>
    </row>
    <row r="34" spans="3:7" x14ac:dyDescent="0.25">
      <c r="E34" s="86" t="s">
        <v>12</v>
      </c>
      <c r="F34" s="86"/>
      <c r="G34" s="86"/>
    </row>
    <row r="35" spans="3:7" ht="21" customHeight="1" x14ac:dyDescent="0.25"/>
    <row r="36" spans="3:7" x14ac:dyDescent="0.25">
      <c r="D36" t="s">
        <v>13</v>
      </c>
    </row>
  </sheetData>
  <mergeCells count="3">
    <mergeCell ref="D30:E30"/>
    <mergeCell ref="C33:F33"/>
    <mergeCell ref="E34:G34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N36"/>
  <sheetViews>
    <sheetView view="pageBreakPreview" topLeftCell="A4" zoomScale="115" zoomScaleNormal="100" zoomScaleSheetLayoutView="115" workbookViewId="0">
      <selection activeCell="F27" sqref="F27"/>
    </sheetView>
  </sheetViews>
  <sheetFormatPr baseColWidth="10" defaultColWidth="10.7109375" defaultRowHeight="15" x14ac:dyDescent="0.25"/>
  <cols>
    <col min="1" max="1" width="3.85546875" customWidth="1"/>
    <col min="2" max="2" width="7.28515625" customWidth="1"/>
    <col min="3" max="3" width="18.140625" customWidth="1"/>
    <col min="4" max="4" width="29.140625" customWidth="1"/>
    <col min="5" max="5" width="11" customWidth="1"/>
    <col min="6" max="7" width="15.85546875" customWidth="1"/>
    <col min="8" max="8" width="8.140625" customWidth="1"/>
  </cols>
  <sheetData>
    <row r="4" spans="2:7" ht="69.75" customHeight="1" x14ac:dyDescent="0.25"/>
    <row r="5" spans="2:7" ht="12.75" customHeight="1" x14ac:dyDescent="0.25">
      <c r="C5" s="1" t="s">
        <v>2</v>
      </c>
      <c r="D5" t="s">
        <v>0</v>
      </c>
      <c r="F5" s="1" t="s">
        <v>6</v>
      </c>
      <c r="G5" s="3">
        <v>45967</v>
      </c>
    </row>
    <row r="6" spans="2:7" ht="12.75" customHeight="1" x14ac:dyDescent="0.25">
      <c r="C6" s="1" t="s">
        <v>1</v>
      </c>
      <c r="D6" t="s">
        <v>3</v>
      </c>
      <c r="F6" s="1" t="s">
        <v>7</v>
      </c>
      <c r="G6" s="32">
        <f>G30</f>
        <v>24300.799999999999</v>
      </c>
    </row>
    <row r="7" spans="2:7" ht="11.25" customHeight="1" x14ac:dyDescent="0.25">
      <c r="D7" t="s">
        <v>4</v>
      </c>
      <c r="F7" s="1" t="s">
        <v>8</v>
      </c>
      <c r="G7" s="1" t="s">
        <v>41</v>
      </c>
    </row>
    <row r="8" spans="2:7" ht="12.75" customHeight="1" x14ac:dyDescent="0.25">
      <c r="C8" s="1" t="s">
        <v>5</v>
      </c>
      <c r="D8" s="7" t="s">
        <v>150</v>
      </c>
      <c r="F8" s="1" t="s">
        <v>10</v>
      </c>
      <c r="G8" s="3">
        <f>G5+30</f>
        <v>45997</v>
      </c>
    </row>
    <row r="12" spans="2:7" x14ac:dyDescent="0.25">
      <c r="B12" s="26">
        <v>100</v>
      </c>
      <c r="C12" s="54" t="s">
        <v>103</v>
      </c>
      <c r="D12" s="62" t="s">
        <v>128</v>
      </c>
      <c r="E12" s="46"/>
      <c r="F12" s="75">
        <v>28.56</v>
      </c>
      <c r="G12" s="63">
        <f>F12*B12</f>
        <v>2856</v>
      </c>
    </row>
    <row r="13" spans="2:7" x14ac:dyDescent="0.25">
      <c r="B13" s="26">
        <v>50</v>
      </c>
      <c r="C13" s="54">
        <v>202295</v>
      </c>
      <c r="D13" s="62" t="s">
        <v>139</v>
      </c>
      <c r="E13" s="46"/>
      <c r="F13" s="75">
        <v>14.98</v>
      </c>
      <c r="G13" s="63">
        <f t="shared" ref="G13:G23" si="0">F13*B13</f>
        <v>749</v>
      </c>
    </row>
    <row r="14" spans="2:7" x14ac:dyDescent="0.25">
      <c r="B14" s="44">
        <v>30</v>
      </c>
      <c r="C14" s="44">
        <v>213108</v>
      </c>
      <c r="D14" s="44" t="s">
        <v>143</v>
      </c>
      <c r="E14" s="46"/>
      <c r="F14" s="59">
        <v>10.11</v>
      </c>
      <c r="G14" s="63">
        <f t="shared" si="0"/>
        <v>303.29999999999995</v>
      </c>
    </row>
    <row r="15" spans="2:7" x14ac:dyDescent="0.25">
      <c r="B15" s="26">
        <v>10</v>
      </c>
      <c r="C15" s="54">
        <v>20715201</v>
      </c>
      <c r="D15" s="62" t="s">
        <v>151</v>
      </c>
      <c r="E15" s="46"/>
      <c r="F15" s="59">
        <v>183.1</v>
      </c>
      <c r="G15" s="63">
        <f t="shared" si="0"/>
        <v>1831</v>
      </c>
    </row>
    <row r="16" spans="2:7" x14ac:dyDescent="0.25">
      <c r="B16" s="26">
        <v>10</v>
      </c>
      <c r="C16" s="39" t="s">
        <v>152</v>
      </c>
      <c r="D16" s="26" t="s">
        <v>68</v>
      </c>
      <c r="E16" s="46"/>
      <c r="F16" s="59">
        <v>164.79</v>
      </c>
      <c r="G16" s="63">
        <f t="shared" si="0"/>
        <v>1647.8999999999999</v>
      </c>
    </row>
    <row r="17" spans="2:14" x14ac:dyDescent="0.25">
      <c r="B17" s="26">
        <v>15</v>
      </c>
      <c r="C17" s="39">
        <v>277060</v>
      </c>
      <c r="D17" s="26" t="s">
        <v>68</v>
      </c>
      <c r="E17" s="46"/>
      <c r="F17" s="59">
        <v>164.79</v>
      </c>
      <c r="G17" s="63">
        <f t="shared" si="0"/>
        <v>2471.85</v>
      </c>
    </row>
    <row r="18" spans="2:14" x14ac:dyDescent="0.25">
      <c r="B18" s="26">
        <v>15</v>
      </c>
      <c r="C18" s="39">
        <v>257566</v>
      </c>
      <c r="D18" s="26" t="s">
        <v>144</v>
      </c>
      <c r="E18" s="46"/>
      <c r="F18" s="59">
        <v>183.1</v>
      </c>
      <c r="G18" s="63">
        <f t="shared" si="0"/>
        <v>2746.5</v>
      </c>
    </row>
    <row r="19" spans="2:14" x14ac:dyDescent="0.25">
      <c r="B19" s="26">
        <v>10</v>
      </c>
      <c r="C19" s="39">
        <v>350218</v>
      </c>
      <c r="D19" s="26" t="s">
        <v>143</v>
      </c>
      <c r="E19" s="46"/>
      <c r="F19" s="59">
        <v>111</v>
      </c>
      <c r="G19" s="63">
        <f t="shared" si="0"/>
        <v>1110</v>
      </c>
      <c r="N19">
        <v>57445729</v>
      </c>
    </row>
    <row r="20" spans="2:14" x14ac:dyDescent="0.25">
      <c r="B20" s="26">
        <v>10</v>
      </c>
      <c r="C20" s="44">
        <v>350220</v>
      </c>
      <c r="D20" s="44" t="s">
        <v>153</v>
      </c>
      <c r="E20" s="46"/>
      <c r="F20" s="64">
        <v>201.41</v>
      </c>
      <c r="G20" s="63">
        <f t="shared" si="0"/>
        <v>2014.1</v>
      </c>
    </row>
    <row r="21" spans="2:14" x14ac:dyDescent="0.25">
      <c r="B21" s="26">
        <v>10</v>
      </c>
      <c r="C21" s="44">
        <v>350215</v>
      </c>
      <c r="D21" s="44" t="s">
        <v>149</v>
      </c>
      <c r="E21" s="46"/>
      <c r="F21" s="64">
        <v>42.32</v>
      </c>
      <c r="G21" s="63">
        <f t="shared" si="0"/>
        <v>423.2</v>
      </c>
    </row>
    <row r="22" spans="2:14" x14ac:dyDescent="0.25">
      <c r="B22" s="26">
        <v>3</v>
      </c>
      <c r="C22" s="40">
        <v>206050</v>
      </c>
      <c r="D22" s="44" t="s">
        <v>142</v>
      </c>
      <c r="E22" s="46"/>
      <c r="F22" s="64">
        <v>274.64999999999998</v>
      </c>
      <c r="G22" s="63">
        <f t="shared" si="0"/>
        <v>823.94999999999993</v>
      </c>
    </row>
    <row r="23" spans="2:14" x14ac:dyDescent="0.25">
      <c r="B23" s="26">
        <v>10</v>
      </c>
      <c r="C23" s="40" t="s">
        <v>154</v>
      </c>
      <c r="D23" s="44" t="s">
        <v>141</v>
      </c>
      <c r="E23" s="46"/>
      <c r="F23" s="64">
        <v>732.4</v>
      </c>
      <c r="G23" s="63">
        <f t="shared" si="0"/>
        <v>7324</v>
      </c>
    </row>
    <row r="24" spans="2:14" x14ac:dyDescent="0.25">
      <c r="B24" s="26"/>
      <c r="C24" s="40"/>
      <c r="D24" s="62"/>
      <c r="E24" s="46"/>
      <c r="F24" s="64"/>
      <c r="G24" s="63"/>
    </row>
    <row r="25" spans="2:14" x14ac:dyDescent="0.25">
      <c r="B25" s="26"/>
      <c r="C25" s="35"/>
      <c r="D25" s="61"/>
      <c r="F25" s="32"/>
      <c r="G25" s="63"/>
    </row>
    <row r="26" spans="2:14" x14ac:dyDescent="0.25">
      <c r="B26" s="26"/>
      <c r="C26" s="35"/>
      <c r="D26" s="61"/>
      <c r="F26" s="32"/>
      <c r="G26" s="63"/>
    </row>
    <row r="27" spans="2:14" x14ac:dyDescent="0.25">
      <c r="B27" s="26"/>
      <c r="C27" s="29"/>
      <c r="D27" s="61"/>
      <c r="F27" s="32"/>
      <c r="G27" s="63"/>
    </row>
    <row r="28" spans="2:14" x14ac:dyDescent="0.25">
      <c r="B28" s="26"/>
      <c r="C28" s="29"/>
      <c r="D28" s="2"/>
      <c r="F28" s="6"/>
      <c r="G28" s="63"/>
    </row>
    <row r="29" spans="2:14" x14ac:dyDescent="0.25">
      <c r="G29" s="30"/>
    </row>
    <row r="30" spans="2:14" x14ac:dyDescent="0.25">
      <c r="C30" s="1" t="s">
        <v>11</v>
      </c>
      <c r="D30" s="4" t="s">
        <v>155</v>
      </c>
      <c r="G30" s="32">
        <f>SUM(G12:G29)</f>
        <v>24300.799999999999</v>
      </c>
    </row>
    <row r="33" spans="3:7" x14ac:dyDescent="0.25">
      <c r="C33" s="86" t="s">
        <v>14</v>
      </c>
      <c r="D33" s="86"/>
      <c r="E33" s="86"/>
      <c r="F33" s="86"/>
    </row>
    <row r="34" spans="3:7" x14ac:dyDescent="0.25">
      <c r="E34" s="86" t="s">
        <v>12</v>
      </c>
      <c r="F34" s="86"/>
      <c r="G34" s="86"/>
    </row>
    <row r="35" spans="3:7" ht="21" customHeight="1" x14ac:dyDescent="0.25"/>
    <row r="36" spans="3:7" x14ac:dyDescent="0.25">
      <c r="D36" t="s">
        <v>13</v>
      </c>
    </row>
  </sheetData>
  <mergeCells count="2">
    <mergeCell ref="C33:F33"/>
    <mergeCell ref="E34:G34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4D4D-3DDC-4884-BEF2-DAE562186F0F}">
  <dimension ref="B4:N42"/>
  <sheetViews>
    <sheetView view="pageBreakPreview" topLeftCell="A4" zoomScale="115" zoomScaleNormal="100" zoomScaleSheetLayoutView="115" workbookViewId="0">
      <selection activeCell="F30" sqref="F30"/>
    </sheetView>
  </sheetViews>
  <sheetFormatPr baseColWidth="10" defaultColWidth="10.7109375" defaultRowHeight="15" x14ac:dyDescent="0.25"/>
  <cols>
    <col min="1" max="1" width="3.85546875" customWidth="1"/>
    <col min="2" max="2" width="4.7109375" customWidth="1"/>
    <col min="3" max="3" width="18.140625" customWidth="1"/>
    <col min="4" max="4" width="29.140625" customWidth="1"/>
    <col min="5" max="5" width="11.85546875" customWidth="1"/>
    <col min="6" max="7" width="15.85546875" customWidth="1"/>
    <col min="8" max="8" width="8.140625" customWidth="1"/>
  </cols>
  <sheetData>
    <row r="4" spans="2:7" ht="72" customHeight="1" x14ac:dyDescent="0.25"/>
    <row r="5" spans="2:7" ht="12.75" customHeight="1" x14ac:dyDescent="0.25">
      <c r="C5" s="1" t="s">
        <v>2</v>
      </c>
      <c r="D5" t="s">
        <v>54</v>
      </c>
      <c r="F5" s="1" t="s">
        <v>6</v>
      </c>
      <c r="G5" s="3">
        <v>45972</v>
      </c>
    </row>
    <row r="6" spans="2:7" ht="12.75" customHeight="1" x14ac:dyDescent="0.25">
      <c r="C6" s="1" t="s">
        <v>1</v>
      </c>
      <c r="D6" t="s">
        <v>55</v>
      </c>
      <c r="F6" s="1" t="s">
        <v>7</v>
      </c>
      <c r="G6" s="32">
        <f>G36</f>
        <v>12779.839999999998</v>
      </c>
    </row>
    <row r="7" spans="2:7" ht="11.25" customHeight="1" x14ac:dyDescent="0.25">
      <c r="D7" t="s">
        <v>120</v>
      </c>
      <c r="F7" s="1" t="s">
        <v>8</v>
      </c>
      <c r="G7" s="1" t="s">
        <v>41</v>
      </c>
    </row>
    <row r="8" spans="2:7" ht="12.75" customHeight="1" x14ac:dyDescent="0.25">
      <c r="C8" s="1" t="s">
        <v>5</v>
      </c>
      <c r="D8" t="s">
        <v>160</v>
      </c>
      <c r="F8" s="1" t="s">
        <v>10</v>
      </c>
      <c r="G8" s="3">
        <f>G5+30</f>
        <v>46002</v>
      </c>
    </row>
    <row r="11" spans="2:7" ht="8.25" customHeight="1" x14ac:dyDescent="0.25"/>
    <row r="12" spans="2:7" ht="12.75" customHeight="1" x14ac:dyDescent="0.25">
      <c r="B12" s="26">
        <v>12</v>
      </c>
      <c r="C12" s="54">
        <v>30115067</v>
      </c>
      <c r="D12" s="62" t="s">
        <v>161</v>
      </c>
      <c r="E12" s="46"/>
      <c r="F12" s="59">
        <v>219.72</v>
      </c>
      <c r="G12" s="63">
        <f>F12*B12</f>
        <v>2636.64</v>
      </c>
    </row>
    <row r="13" spans="2:7" ht="11.25" customHeight="1" x14ac:dyDescent="0.25">
      <c r="B13" s="26">
        <v>15</v>
      </c>
      <c r="C13" s="54" t="s">
        <v>140</v>
      </c>
      <c r="D13" s="26" t="s">
        <v>162</v>
      </c>
      <c r="E13" s="46"/>
      <c r="F13" s="59">
        <v>175.74</v>
      </c>
      <c r="G13" s="63">
        <f t="shared" ref="G13:G17" si="0">F13*B13</f>
        <v>2636.1000000000004</v>
      </c>
    </row>
    <row r="14" spans="2:7" ht="12.75" customHeight="1" x14ac:dyDescent="0.25">
      <c r="B14" s="44">
        <v>10</v>
      </c>
      <c r="C14" s="44" t="s">
        <v>64</v>
      </c>
      <c r="D14" s="44" t="s">
        <v>161</v>
      </c>
      <c r="E14" s="46"/>
      <c r="F14" s="59">
        <v>238.03</v>
      </c>
      <c r="G14" s="63">
        <f t="shared" si="0"/>
        <v>2380.3000000000002</v>
      </c>
    </row>
    <row r="15" spans="2:7" ht="12" customHeight="1" x14ac:dyDescent="0.25">
      <c r="B15" s="26">
        <v>2</v>
      </c>
      <c r="C15" s="54" t="s">
        <v>129</v>
      </c>
      <c r="D15" s="62" t="s">
        <v>164</v>
      </c>
      <c r="E15" s="46"/>
      <c r="F15" s="59">
        <v>1098.5999999999999</v>
      </c>
      <c r="G15" s="63">
        <f t="shared" si="0"/>
        <v>2197.1999999999998</v>
      </c>
    </row>
    <row r="16" spans="2:7" ht="12" customHeight="1" x14ac:dyDescent="0.25">
      <c r="B16" s="26">
        <v>1</v>
      </c>
      <c r="C16" s="39" t="s">
        <v>163</v>
      </c>
      <c r="D16" s="26" t="s">
        <v>165</v>
      </c>
      <c r="E16" s="46"/>
      <c r="F16" s="59">
        <v>2197.1999999999998</v>
      </c>
      <c r="G16" s="63">
        <f t="shared" si="0"/>
        <v>2197.1999999999998</v>
      </c>
    </row>
    <row r="17" spans="2:14" ht="11.25" customHeight="1" x14ac:dyDescent="0.25">
      <c r="B17" s="26">
        <v>1</v>
      </c>
      <c r="C17" s="39">
        <v>105193101</v>
      </c>
      <c r="D17" s="26" t="s">
        <v>166</v>
      </c>
      <c r="E17" s="46"/>
      <c r="F17" s="59">
        <v>732.4</v>
      </c>
      <c r="G17" s="63">
        <f t="shared" si="0"/>
        <v>732.4</v>
      </c>
    </row>
    <row r="18" spans="2:14" ht="11.25" customHeight="1" x14ac:dyDescent="0.25">
      <c r="B18" s="26"/>
      <c r="C18" s="39"/>
      <c r="D18" s="26"/>
      <c r="E18" s="46"/>
      <c r="F18" s="59"/>
      <c r="G18" s="63"/>
      <c r="N18">
        <v>57445729</v>
      </c>
    </row>
    <row r="19" spans="2:14" ht="12.75" customHeight="1" x14ac:dyDescent="0.25">
      <c r="B19" s="26"/>
      <c r="C19" s="44"/>
      <c r="D19" s="44"/>
      <c r="E19" s="46"/>
      <c r="F19" s="64"/>
      <c r="G19" s="63"/>
    </row>
    <row r="20" spans="2:14" ht="10.5" customHeight="1" x14ac:dyDescent="0.25">
      <c r="B20" s="26"/>
      <c r="C20" s="44"/>
      <c r="D20" s="44"/>
      <c r="E20" s="46"/>
      <c r="F20" s="64"/>
      <c r="G20" s="63"/>
    </row>
    <row r="21" spans="2:14" ht="12.75" customHeight="1" x14ac:dyDescent="0.25">
      <c r="B21" s="26"/>
      <c r="C21" s="40"/>
      <c r="D21" s="44"/>
      <c r="E21" s="46"/>
      <c r="F21" s="64"/>
      <c r="G21" s="63"/>
    </row>
    <row r="22" spans="2:14" ht="12.75" customHeight="1" x14ac:dyDescent="0.25">
      <c r="B22" s="26"/>
      <c r="C22" s="40"/>
      <c r="D22" s="44"/>
      <c r="E22" s="46"/>
      <c r="F22" s="64"/>
      <c r="G22" s="63"/>
    </row>
    <row r="23" spans="2:14" ht="12.75" customHeight="1" x14ac:dyDescent="0.25">
      <c r="B23" s="26"/>
      <c r="C23" s="40"/>
      <c r="D23" s="44"/>
      <c r="E23" s="46"/>
      <c r="F23" s="64"/>
      <c r="G23" s="63"/>
    </row>
    <row r="24" spans="2:14" ht="12.75" customHeight="1" x14ac:dyDescent="0.25">
      <c r="B24" s="26"/>
      <c r="C24" s="40"/>
      <c r="D24" s="44"/>
      <c r="F24" s="32"/>
      <c r="G24" s="63"/>
    </row>
    <row r="25" spans="2:14" ht="11.25" customHeight="1" x14ac:dyDescent="0.25">
      <c r="B25" s="26"/>
      <c r="C25" s="40"/>
      <c r="D25" s="44"/>
      <c r="F25" s="32"/>
      <c r="G25" s="63"/>
    </row>
    <row r="26" spans="2:14" ht="12" customHeight="1" x14ac:dyDescent="0.25">
      <c r="B26" s="26"/>
      <c r="C26" s="44"/>
      <c r="D26" s="44"/>
      <c r="F26" s="32"/>
      <c r="G26" s="63"/>
    </row>
    <row r="27" spans="2:14" ht="12" customHeight="1" x14ac:dyDescent="0.25">
      <c r="B27" s="26"/>
      <c r="C27" s="44"/>
      <c r="D27" s="44" t="s">
        <v>168</v>
      </c>
      <c r="F27" s="32"/>
      <c r="G27" s="63"/>
    </row>
    <row r="28" spans="2:14" ht="10.5" customHeight="1" x14ac:dyDescent="0.25">
      <c r="B28" s="26"/>
      <c r="C28" s="44"/>
      <c r="D28" s="44"/>
      <c r="F28" s="32"/>
      <c r="G28" s="63"/>
    </row>
    <row r="29" spans="2:14" ht="12.75" customHeight="1" x14ac:dyDescent="0.25">
      <c r="B29" s="26"/>
      <c r="C29" s="44"/>
      <c r="D29" s="44"/>
      <c r="F29" s="32"/>
      <c r="G29" s="63"/>
    </row>
    <row r="30" spans="2:14" ht="12" customHeight="1" x14ac:dyDescent="0.25">
      <c r="B30" s="26"/>
      <c r="C30" s="44"/>
      <c r="D30" s="44"/>
      <c r="F30" s="32"/>
      <c r="G30" s="63"/>
    </row>
    <row r="31" spans="2:14" ht="11.25" customHeight="1" x14ac:dyDescent="0.25">
      <c r="B31" s="26"/>
      <c r="C31" s="44"/>
      <c r="D31" s="44"/>
      <c r="F31" s="32"/>
      <c r="G31" s="63"/>
    </row>
    <row r="32" spans="2:14" ht="12" customHeight="1" x14ac:dyDescent="0.25">
      <c r="B32" s="26"/>
      <c r="C32" s="44"/>
      <c r="D32" s="44"/>
      <c r="F32" s="6"/>
      <c r="G32" s="63"/>
    </row>
    <row r="33" spans="2:7" ht="12" customHeight="1" x14ac:dyDescent="0.25">
      <c r="B33" s="26"/>
      <c r="C33" s="44"/>
      <c r="D33" s="44"/>
      <c r="F33" s="6"/>
      <c r="G33" s="63"/>
    </row>
    <row r="34" spans="2:7" ht="12" customHeight="1" x14ac:dyDescent="0.25">
      <c r="B34" s="26"/>
      <c r="C34" s="44"/>
      <c r="D34" s="44"/>
      <c r="F34" s="6"/>
      <c r="G34" s="63"/>
    </row>
    <row r="35" spans="2:7" x14ac:dyDescent="0.25">
      <c r="G35" s="30"/>
    </row>
    <row r="36" spans="2:7" x14ac:dyDescent="0.25">
      <c r="C36" s="1" t="s">
        <v>11</v>
      </c>
      <c r="D36" s="4" t="s">
        <v>167</v>
      </c>
      <c r="G36" s="32">
        <f>SUM(G12:G35)</f>
        <v>12779.839999999998</v>
      </c>
    </row>
    <row r="39" spans="2:7" x14ac:dyDescent="0.25">
      <c r="C39" s="86" t="s">
        <v>112</v>
      </c>
      <c r="D39" s="86"/>
      <c r="E39" s="86"/>
      <c r="F39" s="86"/>
    </row>
    <row r="40" spans="2:7" x14ac:dyDescent="0.25">
      <c r="E40" s="86" t="s">
        <v>12</v>
      </c>
      <c r="F40" s="86"/>
      <c r="G40" s="86"/>
    </row>
    <row r="41" spans="2:7" ht="21" customHeight="1" x14ac:dyDescent="0.25"/>
    <row r="42" spans="2:7" x14ac:dyDescent="0.25">
      <c r="D42" t="s">
        <v>13</v>
      </c>
    </row>
  </sheetData>
  <mergeCells count="2">
    <mergeCell ref="C39:F39"/>
    <mergeCell ref="E40:G40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3DEB-DB8A-4CDB-BACA-F5469C4A10AE}">
  <dimension ref="B4:J35"/>
  <sheetViews>
    <sheetView view="pageBreakPreview" zoomScale="115" zoomScaleNormal="100" zoomScaleSheetLayoutView="115" workbookViewId="0">
      <selection activeCell="F4" sqref="F4"/>
    </sheetView>
  </sheetViews>
  <sheetFormatPr baseColWidth="10" defaultColWidth="10.7109375" defaultRowHeight="15" x14ac:dyDescent="0.25"/>
  <cols>
    <col min="1" max="1" width="3.85546875" customWidth="1"/>
    <col min="2" max="2" width="7.140625" customWidth="1"/>
    <col min="3" max="3" width="14.7109375" customWidth="1"/>
    <col min="4" max="4" width="40.7109375" customWidth="1"/>
    <col min="5" max="5" width="6.28515625" customWidth="1"/>
    <col min="6" max="7" width="15.85546875" customWidth="1"/>
    <col min="8" max="8" width="8.140625" customWidth="1"/>
  </cols>
  <sheetData>
    <row r="4" spans="2:10" ht="65.25" customHeight="1" x14ac:dyDescent="0.25"/>
    <row r="5" spans="2:10" ht="12.75" customHeight="1" x14ac:dyDescent="0.25">
      <c r="C5" s="1" t="s">
        <v>2</v>
      </c>
      <c r="D5" t="s">
        <v>95</v>
      </c>
      <c r="F5" s="1" t="s">
        <v>6</v>
      </c>
      <c r="G5" s="3">
        <v>45772</v>
      </c>
    </row>
    <row r="6" spans="2:10" ht="12.75" customHeight="1" x14ac:dyDescent="0.25">
      <c r="C6" s="1" t="s">
        <v>1</v>
      </c>
      <c r="D6" t="s">
        <v>96</v>
      </c>
      <c r="F6" s="1" t="s">
        <v>7</v>
      </c>
      <c r="G6" s="32">
        <f>G29</f>
        <v>7224</v>
      </c>
    </row>
    <row r="7" spans="2:10" ht="11.25" customHeight="1" x14ac:dyDescent="0.25">
      <c r="D7" t="s">
        <v>97</v>
      </c>
      <c r="F7" s="1" t="s">
        <v>8</v>
      </c>
      <c r="G7" s="1" t="s">
        <v>26</v>
      </c>
    </row>
    <row r="8" spans="2:10" ht="12.75" customHeight="1" x14ac:dyDescent="0.25">
      <c r="C8" s="1" t="s">
        <v>35</v>
      </c>
      <c r="D8" s="4" t="s">
        <v>98</v>
      </c>
      <c r="F8" s="1" t="s">
        <v>10</v>
      </c>
      <c r="G8" s="1">
        <v>0</v>
      </c>
    </row>
    <row r="12" spans="2:10" ht="30.75" customHeight="1" x14ac:dyDescent="0.25">
      <c r="B12">
        <v>24</v>
      </c>
      <c r="C12" s="13" t="s">
        <v>99</v>
      </c>
      <c r="D12" s="13" t="s">
        <v>100</v>
      </c>
      <c r="E12" s="2"/>
      <c r="F12" s="32">
        <v>301</v>
      </c>
      <c r="G12" s="32">
        <f t="shared" ref="G12" si="0">F12*B12</f>
        <v>7224</v>
      </c>
    </row>
    <row r="13" spans="2:10" x14ac:dyDescent="0.25">
      <c r="C13" s="29"/>
      <c r="D13" s="13"/>
      <c r="E13" s="2"/>
      <c r="F13" s="32"/>
      <c r="G13" s="32"/>
    </row>
    <row r="14" spans="2:10" x14ac:dyDescent="0.25">
      <c r="C14" s="29"/>
      <c r="D14" s="11"/>
      <c r="E14" s="2"/>
      <c r="F14" s="32"/>
      <c r="G14" s="32"/>
      <c r="J14" t="str">
        <f>UPPER(D12)</f>
        <v xml:space="preserve"> 
LUPA DE BOLSILLO DE 0.394 X 1.102 IN LUPA CUENTA HILOS</v>
      </c>
    </row>
    <row r="15" spans="2:10" x14ac:dyDescent="0.25">
      <c r="C15" s="29"/>
      <c r="D15" s="2"/>
      <c r="E15" s="2"/>
      <c r="F15" s="32"/>
      <c r="G15" s="32"/>
    </row>
    <row r="16" spans="2:10" x14ac:dyDescent="0.25">
      <c r="C16" s="29"/>
      <c r="D16" s="2"/>
      <c r="F16" s="32"/>
      <c r="G16" s="32"/>
    </row>
    <row r="17" spans="3:7" x14ac:dyDescent="0.25">
      <c r="F17" s="32"/>
      <c r="G17" s="32"/>
    </row>
    <row r="18" spans="3:7" x14ac:dyDescent="0.25">
      <c r="C18" s="5"/>
      <c r="D18" s="2"/>
      <c r="F18" s="6"/>
      <c r="G18" s="6"/>
    </row>
    <row r="19" spans="3:7" x14ac:dyDescent="0.25">
      <c r="C19" s="5"/>
      <c r="D19" s="2"/>
      <c r="F19" s="6"/>
      <c r="G19" s="6"/>
    </row>
    <row r="20" spans="3:7" x14ac:dyDescent="0.25">
      <c r="C20" s="5"/>
      <c r="D20" s="2"/>
      <c r="F20" s="6"/>
      <c r="G20" s="6"/>
    </row>
    <row r="21" spans="3:7" x14ac:dyDescent="0.25">
      <c r="C21" s="5"/>
      <c r="D21" s="2"/>
      <c r="F21" s="6"/>
      <c r="G21" s="6"/>
    </row>
    <row r="22" spans="3:7" x14ac:dyDescent="0.25">
      <c r="C22" s="5"/>
      <c r="D22" s="2"/>
      <c r="F22" s="6"/>
      <c r="G22" s="6"/>
    </row>
    <row r="23" spans="3:7" x14ac:dyDescent="0.25">
      <c r="C23" s="5"/>
      <c r="D23" s="2"/>
      <c r="F23" s="6"/>
      <c r="G23" s="6"/>
    </row>
    <row r="24" spans="3:7" x14ac:dyDescent="0.25">
      <c r="C24" s="5"/>
      <c r="D24" s="2"/>
      <c r="F24" s="6"/>
      <c r="G24" s="6"/>
    </row>
    <row r="25" spans="3:7" x14ac:dyDescent="0.25">
      <c r="C25" s="5"/>
      <c r="D25" s="2"/>
      <c r="F25" s="6"/>
      <c r="G25" s="6"/>
    </row>
    <row r="26" spans="3:7" x14ac:dyDescent="0.25">
      <c r="C26" s="5"/>
      <c r="D26" s="2"/>
      <c r="F26" s="6"/>
      <c r="G26" s="6"/>
    </row>
    <row r="27" spans="3:7" x14ac:dyDescent="0.25">
      <c r="C27" s="5"/>
      <c r="D27" s="2"/>
      <c r="F27" s="6"/>
      <c r="G27" s="6"/>
    </row>
    <row r="28" spans="3:7" x14ac:dyDescent="0.25">
      <c r="F28" s="1"/>
      <c r="G28" s="6"/>
    </row>
    <row r="29" spans="3:7" x14ac:dyDescent="0.25">
      <c r="C29" s="1" t="s">
        <v>11</v>
      </c>
      <c r="D29" s="86" t="s">
        <v>102</v>
      </c>
      <c r="E29" s="86"/>
      <c r="F29" s="1" t="s">
        <v>17</v>
      </c>
      <c r="G29" s="32">
        <f>G12+G13+G14+G15+G16+G17+G19+G20+G22+G23+G24+G18+G20+G21</f>
        <v>7224</v>
      </c>
    </row>
    <row r="30" spans="3:7" x14ac:dyDescent="0.25">
      <c r="D30" s="2" t="s">
        <v>88</v>
      </c>
      <c r="F30" s="1"/>
      <c r="G30" s="8"/>
    </row>
    <row r="32" spans="3:7" x14ac:dyDescent="0.25">
      <c r="C32" s="86" t="s">
        <v>101</v>
      </c>
      <c r="D32" s="86"/>
      <c r="E32" s="86"/>
      <c r="F32" s="86"/>
    </row>
    <row r="33" spans="4:7" x14ac:dyDescent="0.25">
      <c r="E33" s="86" t="s">
        <v>12</v>
      </c>
      <c r="F33" s="86"/>
      <c r="G33" s="86"/>
    </row>
    <row r="34" spans="4:7" ht="21" customHeight="1" x14ac:dyDescent="0.25"/>
    <row r="35" spans="4:7" x14ac:dyDescent="0.25">
      <c r="D35" t="s">
        <v>13</v>
      </c>
    </row>
  </sheetData>
  <mergeCells count="3">
    <mergeCell ref="D29:E29"/>
    <mergeCell ref="C32:F32"/>
    <mergeCell ref="E33:G33"/>
  </mergeCells>
  <printOptions horizontalCentered="1"/>
  <pageMargins left="0.19685039370078741" right="0.31496062992125984" top="0.15748031496062992" bottom="0.35433070866141736" header="0.31496062992125984" footer="0.31496062992125984"/>
  <pageSetup scale="9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H41"/>
  <sheetViews>
    <sheetView view="pageBreakPreview" zoomScale="115" zoomScaleNormal="100" zoomScaleSheetLayoutView="115" workbookViewId="0">
      <selection activeCell="L19" sqref="L19"/>
    </sheetView>
  </sheetViews>
  <sheetFormatPr baseColWidth="10" defaultColWidth="10.7109375" defaultRowHeight="15" x14ac:dyDescent="0.25"/>
  <cols>
    <col min="1" max="1" width="3.85546875" customWidth="1"/>
    <col min="2" max="2" width="4.28515625" customWidth="1"/>
    <col min="3" max="3" width="16" customWidth="1"/>
    <col min="4" max="4" width="39.28515625" customWidth="1"/>
    <col min="5" max="5" width="9.140625" customWidth="1"/>
    <col min="6" max="6" width="14.85546875" customWidth="1"/>
    <col min="7" max="7" width="15.85546875" customWidth="1"/>
    <col min="8" max="8" width="8.140625" customWidth="1"/>
  </cols>
  <sheetData>
    <row r="4" spans="2:8" ht="69" customHeight="1" x14ac:dyDescent="0.25"/>
    <row r="5" spans="2:8" ht="12.75" customHeight="1" x14ac:dyDescent="0.25">
      <c r="C5" s="1" t="s">
        <v>2</v>
      </c>
      <c r="D5" t="s">
        <v>16</v>
      </c>
      <c r="F5" s="1" t="s">
        <v>6</v>
      </c>
      <c r="G5" s="3">
        <v>45958</v>
      </c>
    </row>
    <row r="6" spans="2:8" ht="12.75" customHeight="1" x14ac:dyDescent="0.25">
      <c r="C6" s="1" t="s">
        <v>1</v>
      </c>
      <c r="D6" t="s">
        <v>18</v>
      </c>
      <c r="F6" s="1" t="s">
        <v>7</v>
      </c>
      <c r="G6" s="32">
        <f>G35</f>
        <v>10986</v>
      </c>
    </row>
    <row r="7" spans="2:8" ht="11.25" customHeight="1" x14ac:dyDescent="0.25">
      <c r="D7" t="s">
        <v>4</v>
      </c>
      <c r="F7" s="1" t="s">
        <v>8</v>
      </c>
      <c r="G7" s="1" t="s">
        <v>9</v>
      </c>
    </row>
    <row r="8" spans="2:8" ht="12.75" customHeight="1" x14ac:dyDescent="0.25">
      <c r="C8" s="1" t="s">
        <v>5</v>
      </c>
      <c r="D8" s="4" t="s">
        <v>145</v>
      </c>
      <c r="F8" s="1" t="s">
        <v>10</v>
      </c>
      <c r="G8" s="3">
        <f>G5+30</f>
        <v>45988</v>
      </c>
    </row>
    <row r="12" spans="2:8" ht="13.5" customHeight="1" x14ac:dyDescent="0.25">
      <c r="B12" s="26">
        <v>3</v>
      </c>
      <c r="C12" s="40" t="s">
        <v>146</v>
      </c>
      <c r="D12" s="40" t="s">
        <v>147</v>
      </c>
      <c r="E12" s="44"/>
      <c r="F12" s="59">
        <v>3662</v>
      </c>
      <c r="G12" s="63">
        <f>(B12*F12)</f>
        <v>10986</v>
      </c>
      <c r="H12" s="30"/>
    </row>
    <row r="13" spans="2:8" ht="12.75" customHeight="1" x14ac:dyDescent="0.25">
      <c r="B13" s="26"/>
      <c r="C13" s="40"/>
      <c r="D13" s="40"/>
      <c r="E13" s="44"/>
      <c r="F13" s="59"/>
      <c r="G13" s="63"/>
      <c r="H13" s="30"/>
    </row>
    <row r="14" spans="2:8" ht="10.5" customHeight="1" x14ac:dyDescent="0.25">
      <c r="B14" s="26"/>
      <c r="C14" s="40"/>
      <c r="D14" s="40"/>
      <c r="E14" s="44"/>
      <c r="F14" s="59"/>
      <c r="G14" s="63"/>
      <c r="H14" s="30"/>
    </row>
    <row r="15" spans="2:8" ht="12" customHeight="1" x14ac:dyDescent="0.25">
      <c r="B15" s="26"/>
      <c r="C15" s="40"/>
      <c r="D15" s="40"/>
      <c r="E15" s="46"/>
      <c r="F15" s="59"/>
      <c r="G15" s="63"/>
      <c r="H15" s="30"/>
    </row>
    <row r="16" spans="2:8" ht="12" customHeight="1" x14ac:dyDescent="0.25">
      <c r="B16" s="26"/>
      <c r="C16" s="40"/>
      <c r="D16" s="40"/>
      <c r="E16" s="46"/>
      <c r="F16" s="59"/>
      <c r="G16" s="63"/>
      <c r="H16" s="30"/>
    </row>
    <row r="17" spans="2:8" ht="12.75" customHeight="1" x14ac:dyDescent="0.25">
      <c r="B17" s="26"/>
      <c r="C17" s="40"/>
      <c r="D17" s="40"/>
      <c r="E17" s="46"/>
      <c r="F17" s="59"/>
      <c r="G17" s="63"/>
      <c r="H17" s="30"/>
    </row>
    <row r="18" spans="2:8" ht="10.5" customHeight="1" x14ac:dyDescent="0.25">
      <c r="B18" s="26"/>
      <c r="C18" s="40"/>
      <c r="D18" s="44"/>
      <c r="E18" s="46"/>
      <c r="F18" s="64"/>
      <c r="G18" s="63"/>
      <c r="H18" s="30"/>
    </row>
    <row r="19" spans="2:8" ht="13.5" customHeight="1" x14ac:dyDescent="0.25">
      <c r="B19" s="26"/>
      <c r="C19" s="40"/>
      <c r="D19" s="44"/>
      <c r="E19" s="46"/>
      <c r="F19" s="64"/>
      <c r="G19" s="63"/>
      <c r="H19" s="30"/>
    </row>
    <row r="20" spans="2:8" ht="12.75" customHeight="1" x14ac:dyDescent="0.25">
      <c r="B20" s="26"/>
      <c r="C20" s="40"/>
      <c r="D20" s="44"/>
      <c r="E20" s="46"/>
      <c r="F20" s="64"/>
      <c r="G20" s="63"/>
      <c r="H20" s="30"/>
    </row>
    <row r="21" spans="2:8" ht="12" customHeight="1" x14ac:dyDescent="0.25">
      <c r="B21" s="26"/>
      <c r="C21" s="40"/>
      <c r="D21" s="44"/>
      <c r="E21" s="46"/>
      <c r="F21" s="72"/>
      <c r="G21" s="63"/>
      <c r="H21" s="30"/>
    </row>
    <row r="22" spans="2:8" ht="12" customHeight="1" x14ac:dyDescent="0.25">
      <c r="B22" s="26"/>
      <c r="C22" s="40"/>
      <c r="D22" s="44"/>
      <c r="E22" s="46"/>
      <c r="F22" s="72"/>
      <c r="G22" s="63"/>
      <c r="H22" s="30"/>
    </row>
    <row r="23" spans="2:8" ht="12.75" customHeight="1" x14ac:dyDescent="0.25">
      <c r="B23" s="26"/>
      <c r="C23" s="40"/>
      <c r="D23" s="44"/>
      <c r="E23" s="46"/>
      <c r="F23" s="72"/>
      <c r="G23" s="63"/>
      <c r="H23" s="30"/>
    </row>
    <row r="24" spans="2:8" ht="12.75" customHeight="1" x14ac:dyDescent="0.25">
      <c r="B24" s="26"/>
      <c r="C24" s="40"/>
      <c r="D24" s="44"/>
      <c r="E24" s="46"/>
      <c r="F24" s="72"/>
      <c r="G24" s="63"/>
      <c r="H24" s="30"/>
    </row>
    <row r="25" spans="2:8" ht="12" customHeight="1" x14ac:dyDescent="0.25">
      <c r="B25" s="26"/>
      <c r="C25" s="40"/>
      <c r="D25" s="44"/>
      <c r="E25" s="46"/>
      <c r="F25" s="72"/>
      <c r="G25" s="63"/>
      <c r="H25" s="30"/>
    </row>
    <row r="26" spans="2:8" ht="10.5" customHeight="1" x14ac:dyDescent="0.25">
      <c r="B26" s="26"/>
      <c r="C26" s="40"/>
      <c r="D26" s="44"/>
      <c r="E26" s="46"/>
      <c r="F26" s="72"/>
      <c r="G26" s="63"/>
      <c r="H26" s="30"/>
    </row>
    <row r="27" spans="2:8" ht="11.25" customHeight="1" x14ac:dyDescent="0.25">
      <c r="B27" s="26"/>
      <c r="C27" s="40"/>
      <c r="D27" s="44"/>
      <c r="E27" s="46"/>
      <c r="F27" s="72"/>
      <c r="G27" s="63"/>
      <c r="H27" s="30"/>
    </row>
    <row r="28" spans="2:8" ht="10.5" customHeight="1" x14ac:dyDescent="0.25">
      <c r="B28" s="26"/>
      <c r="C28" s="40"/>
      <c r="D28" s="44"/>
      <c r="E28" s="46"/>
      <c r="F28" s="64"/>
      <c r="G28" s="63"/>
      <c r="H28" s="30"/>
    </row>
    <row r="29" spans="2:8" ht="12" customHeight="1" x14ac:dyDescent="0.25">
      <c r="B29" s="26"/>
      <c r="C29" s="40"/>
      <c r="D29" s="44"/>
      <c r="E29" s="46"/>
      <c r="F29" s="64"/>
      <c r="G29" s="63"/>
    </row>
    <row r="30" spans="2:8" ht="12" customHeight="1" x14ac:dyDescent="0.25">
      <c r="B30" s="26"/>
      <c r="C30" s="40"/>
      <c r="D30" s="44"/>
      <c r="E30" s="46"/>
      <c r="F30" s="64"/>
      <c r="G30" s="63"/>
    </row>
    <row r="31" spans="2:8" ht="11.25" customHeight="1" x14ac:dyDescent="0.25">
      <c r="B31" s="26"/>
      <c r="C31" s="40"/>
      <c r="D31" s="44"/>
      <c r="E31" s="46"/>
      <c r="F31" s="64"/>
      <c r="G31" s="63"/>
    </row>
    <row r="32" spans="2:8" ht="11.25" customHeight="1" x14ac:dyDescent="0.25">
      <c r="B32" s="26"/>
      <c r="C32" s="40"/>
      <c r="D32" s="44"/>
      <c r="E32" s="46"/>
      <c r="F32" s="64"/>
      <c r="G32" s="63"/>
    </row>
    <row r="33" spans="2:7" ht="11.25" customHeight="1" x14ac:dyDescent="0.25">
      <c r="B33" s="26"/>
      <c r="C33" s="40"/>
      <c r="D33" s="44"/>
      <c r="E33" s="46"/>
      <c r="F33" s="45"/>
      <c r="G33" s="63"/>
    </row>
    <row r="34" spans="2:7" x14ac:dyDescent="0.25">
      <c r="B34" s="7"/>
      <c r="C34" s="15"/>
      <c r="D34" s="17"/>
      <c r="E34" s="7"/>
      <c r="F34" s="18"/>
      <c r="G34" s="18"/>
    </row>
    <row r="35" spans="2:7" x14ac:dyDescent="0.25">
      <c r="C35" s="1" t="s">
        <v>11</v>
      </c>
      <c r="D35" s="89" t="s">
        <v>148</v>
      </c>
      <c r="E35" s="88"/>
      <c r="F35" s="1" t="s">
        <v>17</v>
      </c>
      <c r="G35" s="32">
        <f>G12+G13+G14+G15+G17+G18+G19+G20+G21+G23+G24+G25+G26+G27+G28+G29+G34+G16+G30+G31+G32+G33+G22</f>
        <v>10986</v>
      </c>
    </row>
    <row r="36" spans="2:7" x14ac:dyDescent="0.25">
      <c r="D36" s="4"/>
      <c r="F36" s="1"/>
      <c r="G36" s="8"/>
    </row>
    <row r="38" spans="2:7" x14ac:dyDescent="0.25">
      <c r="C38" s="86" t="s">
        <v>19</v>
      </c>
      <c r="D38" s="86"/>
      <c r="E38" s="86"/>
      <c r="F38" s="86"/>
    </row>
    <row r="39" spans="2:7" x14ac:dyDescent="0.25">
      <c r="E39" s="86" t="s">
        <v>12</v>
      </c>
      <c r="F39" s="86"/>
      <c r="G39" s="86"/>
    </row>
    <row r="40" spans="2:7" ht="21" customHeight="1" x14ac:dyDescent="0.25"/>
    <row r="41" spans="2:7" x14ac:dyDescent="0.25">
      <c r="D41" t="s">
        <v>13</v>
      </c>
    </row>
  </sheetData>
  <mergeCells count="3">
    <mergeCell ref="D35:E35"/>
    <mergeCell ref="C38:F38"/>
    <mergeCell ref="E39:G39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2413-5DA9-4845-A5C3-85BF7A70264D}">
  <dimension ref="B4:J37"/>
  <sheetViews>
    <sheetView view="pageBreakPreview" topLeftCell="A6" zoomScale="115" zoomScaleNormal="100" zoomScaleSheetLayoutView="115" workbookViewId="0">
      <selection activeCell="L17" sqref="L17"/>
    </sheetView>
  </sheetViews>
  <sheetFormatPr baseColWidth="10" defaultColWidth="10.7109375" defaultRowHeight="15" x14ac:dyDescent="0.25"/>
  <cols>
    <col min="1" max="1" width="3.85546875" customWidth="1"/>
    <col min="2" max="2" width="4.28515625" customWidth="1"/>
    <col min="3" max="3" width="18.140625" customWidth="1"/>
    <col min="4" max="4" width="29.140625" customWidth="1"/>
    <col min="5" max="5" width="9.140625" customWidth="1"/>
    <col min="6" max="7" width="15.85546875" customWidth="1"/>
    <col min="8" max="8" width="8.140625" customWidth="1"/>
  </cols>
  <sheetData>
    <row r="4" spans="2:10" ht="65.25" customHeight="1" x14ac:dyDescent="0.25"/>
    <row r="5" spans="2:10" ht="12.75" customHeight="1" x14ac:dyDescent="0.25">
      <c r="C5" s="1" t="s">
        <v>2</v>
      </c>
      <c r="D5" t="s">
        <v>27</v>
      </c>
      <c r="F5" s="1" t="s">
        <v>6</v>
      </c>
      <c r="G5" s="3">
        <v>45883</v>
      </c>
    </row>
    <row r="6" spans="2:10" ht="12.75" customHeight="1" x14ac:dyDescent="0.25">
      <c r="C6" s="1" t="s">
        <v>1</v>
      </c>
      <c r="D6" t="s">
        <v>28</v>
      </c>
      <c r="F6" s="1" t="s">
        <v>7</v>
      </c>
      <c r="G6" s="32">
        <f>G30</f>
        <v>6701.4600000000009</v>
      </c>
    </row>
    <row r="7" spans="2:10" ht="11.25" customHeight="1" x14ac:dyDescent="0.25">
      <c r="D7" t="s">
        <v>29</v>
      </c>
      <c r="F7" s="1" t="s">
        <v>8</v>
      </c>
      <c r="G7" s="1" t="s">
        <v>26</v>
      </c>
    </row>
    <row r="8" spans="2:10" ht="12.75" customHeight="1" x14ac:dyDescent="0.25">
      <c r="C8" s="1" t="s">
        <v>5</v>
      </c>
      <c r="D8" s="4" t="s">
        <v>121</v>
      </c>
      <c r="F8" s="1" t="s">
        <v>10</v>
      </c>
      <c r="G8" s="3"/>
    </row>
    <row r="12" spans="2:10" x14ac:dyDescent="0.25">
      <c r="B12">
        <v>3</v>
      </c>
      <c r="C12" s="5"/>
      <c r="D12" s="13" t="s">
        <v>122</v>
      </c>
      <c r="E12" s="2"/>
      <c r="F12" s="32">
        <v>2233.8200000000002</v>
      </c>
      <c r="G12" s="32">
        <f>F12*B12</f>
        <v>6701.4600000000009</v>
      </c>
    </row>
    <row r="13" spans="2:10" x14ac:dyDescent="0.25">
      <c r="C13" s="5"/>
      <c r="D13" s="13"/>
      <c r="E13" s="2"/>
      <c r="F13" s="6"/>
      <c r="G13" s="32"/>
    </row>
    <row r="14" spans="2:10" x14ac:dyDescent="0.25">
      <c r="C14" s="5"/>
      <c r="D14" s="2"/>
      <c r="E14" s="2"/>
      <c r="F14" s="6"/>
      <c r="G14" s="6"/>
      <c r="J14" t="str">
        <f>UPPER(D12)</f>
        <v xml:space="preserve">LUZ ESTROBOSCOPICA GIRATORIA </v>
      </c>
    </row>
    <row r="15" spans="2:10" x14ac:dyDescent="0.25">
      <c r="C15" s="5"/>
      <c r="D15" s="2"/>
      <c r="E15" s="2"/>
      <c r="F15" s="6"/>
      <c r="G15" s="6"/>
    </row>
    <row r="16" spans="2:10" x14ac:dyDescent="0.25">
      <c r="C16" s="5"/>
      <c r="D16" s="2"/>
      <c r="F16" s="6"/>
      <c r="G16" s="6"/>
    </row>
    <row r="17" spans="3:7" x14ac:dyDescent="0.25">
      <c r="C17" s="5"/>
      <c r="D17" s="86"/>
      <c r="E17" s="86"/>
      <c r="F17" s="6"/>
      <c r="G17" s="6"/>
    </row>
    <row r="18" spans="3:7" x14ac:dyDescent="0.25">
      <c r="C18" s="5"/>
      <c r="D18" s="2"/>
      <c r="F18" s="6"/>
      <c r="G18" s="6"/>
    </row>
    <row r="19" spans="3:7" x14ac:dyDescent="0.25">
      <c r="C19" s="5"/>
      <c r="D19" s="2"/>
      <c r="F19" s="6"/>
      <c r="G19" s="6"/>
    </row>
    <row r="20" spans="3:7" x14ac:dyDescent="0.25">
      <c r="C20" s="5"/>
      <c r="D20" s="2"/>
      <c r="F20" s="6"/>
      <c r="G20" s="6"/>
    </row>
    <row r="21" spans="3:7" x14ac:dyDescent="0.25">
      <c r="C21" s="5"/>
      <c r="D21" s="2"/>
      <c r="F21" s="6"/>
      <c r="G21" s="6"/>
    </row>
    <row r="22" spans="3:7" x14ac:dyDescent="0.25">
      <c r="C22" s="5"/>
      <c r="D22" s="2"/>
      <c r="F22" s="6"/>
      <c r="G22" s="6"/>
    </row>
    <row r="23" spans="3:7" x14ac:dyDescent="0.25">
      <c r="C23" s="5"/>
      <c r="D23" s="2"/>
      <c r="F23" s="6"/>
      <c r="G23" s="6"/>
    </row>
    <row r="24" spans="3:7" x14ac:dyDescent="0.25">
      <c r="C24" s="5"/>
      <c r="D24" s="2"/>
      <c r="F24" s="6"/>
      <c r="G24" s="6"/>
    </row>
    <row r="25" spans="3:7" x14ac:dyDescent="0.25">
      <c r="C25" s="5"/>
      <c r="D25" s="2"/>
      <c r="F25" s="6"/>
      <c r="G25" s="6"/>
    </row>
    <row r="26" spans="3:7" x14ac:dyDescent="0.25">
      <c r="C26" s="5"/>
      <c r="D26" s="2"/>
      <c r="F26" s="6"/>
      <c r="G26" s="6"/>
    </row>
    <row r="27" spans="3:7" x14ac:dyDescent="0.25">
      <c r="C27" s="5"/>
      <c r="D27" s="2"/>
      <c r="F27" s="6"/>
      <c r="G27" s="6"/>
    </row>
    <row r="28" spans="3:7" x14ac:dyDescent="0.25">
      <c r="C28" s="5"/>
      <c r="D28" s="2"/>
      <c r="F28" s="6"/>
      <c r="G28" s="6"/>
    </row>
    <row r="29" spans="3:7" x14ac:dyDescent="0.25">
      <c r="F29" s="1"/>
      <c r="G29" s="6"/>
    </row>
    <row r="30" spans="3:7" x14ac:dyDescent="0.25">
      <c r="C30" s="1" t="s">
        <v>11</v>
      </c>
      <c r="D30" s="88" t="s">
        <v>123</v>
      </c>
      <c r="E30" s="88"/>
      <c r="F30" s="1" t="s">
        <v>17</v>
      </c>
      <c r="G30" s="32">
        <f>G12+G13+G14+G15+G16+G17+G18+G19+G21</f>
        <v>6701.4600000000009</v>
      </c>
    </row>
    <row r="31" spans="3:7" x14ac:dyDescent="0.25">
      <c r="C31" s="1"/>
      <c r="D31" s="29"/>
      <c r="E31" s="29"/>
      <c r="F31" s="1"/>
      <c r="G31" s="32"/>
    </row>
    <row r="32" spans="3:7" x14ac:dyDescent="0.25">
      <c r="F32" s="1"/>
      <c r="G32" s="8"/>
    </row>
    <row r="34" spans="3:7" x14ac:dyDescent="0.25">
      <c r="C34" s="86" t="s">
        <v>40</v>
      </c>
      <c r="D34" s="86"/>
      <c r="E34" s="86"/>
      <c r="F34" s="86"/>
    </row>
    <row r="35" spans="3:7" x14ac:dyDescent="0.25">
      <c r="E35" s="86" t="s">
        <v>12</v>
      </c>
      <c r="F35" s="86"/>
      <c r="G35" s="86"/>
    </row>
    <row r="36" spans="3:7" ht="21" customHeight="1" x14ac:dyDescent="0.25"/>
    <row r="37" spans="3:7" x14ac:dyDescent="0.25">
      <c r="D37" t="s">
        <v>13</v>
      </c>
    </row>
  </sheetData>
  <mergeCells count="4">
    <mergeCell ref="D17:E17"/>
    <mergeCell ref="D30:E30"/>
    <mergeCell ref="C34:F34"/>
    <mergeCell ref="E35:G35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883D-9565-4398-8518-0A2689E6B634}">
  <dimension ref="B4:J35"/>
  <sheetViews>
    <sheetView view="pageBreakPreview" topLeftCell="A4" zoomScale="115" zoomScaleNormal="100" zoomScaleSheetLayoutView="115" workbookViewId="0">
      <selection activeCell="D24" sqref="D24"/>
    </sheetView>
  </sheetViews>
  <sheetFormatPr baseColWidth="10" defaultColWidth="10.7109375" defaultRowHeight="15" x14ac:dyDescent="0.25"/>
  <cols>
    <col min="1" max="1" width="3.85546875" customWidth="1"/>
    <col min="2" max="2" width="7.140625" customWidth="1"/>
    <col min="3" max="3" width="14.7109375" customWidth="1"/>
    <col min="4" max="4" width="40.7109375" customWidth="1"/>
    <col min="5" max="5" width="6.28515625" customWidth="1"/>
    <col min="6" max="7" width="15.85546875" customWidth="1"/>
    <col min="8" max="8" width="8.140625" customWidth="1"/>
  </cols>
  <sheetData>
    <row r="4" spans="2:10" ht="75.75" customHeight="1" x14ac:dyDescent="0.25"/>
    <row r="5" spans="2:10" ht="12.75" customHeight="1" x14ac:dyDescent="0.25">
      <c r="C5" s="1" t="s">
        <v>2</v>
      </c>
      <c r="D5" t="s">
        <v>31</v>
      </c>
      <c r="F5" s="1" t="s">
        <v>6</v>
      </c>
      <c r="G5" s="3">
        <v>45922</v>
      </c>
    </row>
    <row r="6" spans="2:10" ht="12.75" customHeight="1" x14ac:dyDescent="0.25">
      <c r="C6" s="1" t="s">
        <v>1</v>
      </c>
      <c r="D6" t="s">
        <v>36</v>
      </c>
      <c r="F6" s="1" t="s">
        <v>7</v>
      </c>
      <c r="G6" s="32">
        <f>G29</f>
        <v>11153.18</v>
      </c>
    </row>
    <row r="7" spans="2:10" ht="11.25" customHeight="1" x14ac:dyDescent="0.25">
      <c r="D7" t="s">
        <v>33</v>
      </c>
      <c r="F7" s="1" t="s">
        <v>8</v>
      </c>
      <c r="G7" s="1" t="s">
        <v>32</v>
      </c>
    </row>
    <row r="8" spans="2:10" ht="12.75" customHeight="1" x14ac:dyDescent="0.25">
      <c r="C8" s="1" t="s">
        <v>35</v>
      </c>
      <c r="D8" s="4" t="s">
        <v>131</v>
      </c>
      <c r="F8" s="1" t="s">
        <v>10</v>
      </c>
      <c r="G8" s="3">
        <f>G5+30</f>
        <v>45952</v>
      </c>
    </row>
    <row r="12" spans="2:10" ht="30.75" customHeight="1" x14ac:dyDescent="0.25">
      <c r="B12">
        <v>3</v>
      </c>
      <c r="C12" s="71" t="s">
        <v>132</v>
      </c>
      <c r="D12" s="13" t="s">
        <v>135</v>
      </c>
      <c r="E12" s="2"/>
      <c r="F12" s="32">
        <v>2307.06</v>
      </c>
      <c r="G12" s="32">
        <f t="shared" ref="G12:G14" si="0">F12*B12</f>
        <v>6921.18</v>
      </c>
    </row>
    <row r="13" spans="2:10" x14ac:dyDescent="0.25">
      <c r="B13">
        <v>10</v>
      </c>
      <c r="C13" s="29" t="s">
        <v>133</v>
      </c>
      <c r="D13" s="13" t="s">
        <v>136</v>
      </c>
      <c r="E13" s="2"/>
      <c r="F13" s="32">
        <v>128.80000000000001</v>
      </c>
      <c r="G13" s="32">
        <f t="shared" si="0"/>
        <v>1288</v>
      </c>
    </row>
    <row r="14" spans="2:10" x14ac:dyDescent="0.25">
      <c r="B14">
        <v>16</v>
      </c>
      <c r="C14" s="29" t="s">
        <v>134</v>
      </c>
      <c r="D14" s="11" t="s">
        <v>137</v>
      </c>
      <c r="E14" s="2"/>
      <c r="F14" s="32">
        <v>184</v>
      </c>
      <c r="G14" s="32">
        <f t="shared" si="0"/>
        <v>2944</v>
      </c>
      <c r="J14" t="str">
        <f>UPPER(D12)</f>
        <v>CILINDRO</v>
      </c>
    </row>
    <row r="15" spans="2:10" x14ac:dyDescent="0.25">
      <c r="C15" s="85"/>
      <c r="D15" s="2"/>
      <c r="E15" s="2"/>
      <c r="F15" s="32"/>
      <c r="G15" s="32"/>
    </row>
    <row r="16" spans="2:10" x14ac:dyDescent="0.25">
      <c r="C16" s="29"/>
      <c r="D16" s="2"/>
      <c r="F16" s="32"/>
      <c r="G16" s="32"/>
    </row>
    <row r="17" spans="3:7" x14ac:dyDescent="0.25">
      <c r="C17" s="29"/>
      <c r="D17" s="2"/>
      <c r="F17" s="32"/>
      <c r="G17" s="32"/>
    </row>
    <row r="18" spans="3:7" x14ac:dyDescent="0.25">
      <c r="C18" s="29"/>
      <c r="D18" s="2"/>
      <c r="F18" s="32"/>
      <c r="G18" s="32"/>
    </row>
    <row r="19" spans="3:7" x14ac:dyDescent="0.25">
      <c r="C19" s="29"/>
      <c r="D19" s="2"/>
      <c r="F19" s="32"/>
      <c r="G19" s="32"/>
    </row>
    <row r="20" spans="3:7" x14ac:dyDescent="0.25">
      <c r="C20" s="29"/>
      <c r="D20" s="2"/>
      <c r="F20" s="32"/>
      <c r="G20" s="32"/>
    </row>
    <row r="21" spans="3:7" x14ac:dyDescent="0.25">
      <c r="C21" s="29"/>
      <c r="D21" s="2"/>
      <c r="F21" s="32"/>
      <c r="G21" s="32"/>
    </row>
    <row r="22" spans="3:7" x14ac:dyDescent="0.25">
      <c r="C22" s="29"/>
      <c r="D22" s="2"/>
      <c r="F22" s="32"/>
      <c r="G22" s="32"/>
    </row>
    <row r="23" spans="3:7" x14ac:dyDescent="0.25">
      <c r="C23" s="29"/>
      <c r="D23" s="2"/>
      <c r="F23" s="32"/>
      <c r="G23" s="32"/>
    </row>
    <row r="24" spans="3:7" x14ac:dyDescent="0.25">
      <c r="C24" s="29"/>
      <c r="D24" s="2"/>
      <c r="F24" s="32"/>
      <c r="G24" s="32"/>
    </row>
    <row r="25" spans="3:7" x14ac:dyDescent="0.25">
      <c r="C25" s="29"/>
      <c r="D25" s="2"/>
      <c r="F25" s="6"/>
      <c r="G25" s="6"/>
    </row>
    <row r="26" spans="3:7" x14ac:dyDescent="0.25">
      <c r="C26" s="29"/>
      <c r="D26" s="2"/>
      <c r="F26" s="6"/>
      <c r="G26" s="6"/>
    </row>
    <row r="27" spans="3:7" x14ac:dyDescent="0.25">
      <c r="C27" s="29"/>
      <c r="D27" s="2"/>
      <c r="F27" s="6"/>
      <c r="G27" s="6"/>
    </row>
    <row r="28" spans="3:7" x14ac:dyDescent="0.25">
      <c r="F28" s="1"/>
      <c r="G28" s="6"/>
    </row>
    <row r="29" spans="3:7" x14ac:dyDescent="0.25">
      <c r="C29" s="1" t="s">
        <v>11</v>
      </c>
      <c r="D29" s="86" t="s">
        <v>138</v>
      </c>
      <c r="E29" s="86"/>
      <c r="F29" s="1" t="s">
        <v>17</v>
      </c>
      <c r="G29" s="32">
        <f>SUM(G12:G28)</f>
        <v>11153.18</v>
      </c>
    </row>
    <row r="30" spans="3:7" x14ac:dyDescent="0.25">
      <c r="D30" s="2" t="s">
        <v>124</v>
      </c>
      <c r="F30" s="1"/>
      <c r="G30" s="8"/>
    </row>
    <row r="32" spans="3:7" x14ac:dyDescent="0.25">
      <c r="C32" s="86" t="s">
        <v>34</v>
      </c>
      <c r="D32" s="86"/>
      <c r="E32" s="86"/>
      <c r="F32" s="86"/>
    </row>
    <row r="33" spans="4:7" x14ac:dyDescent="0.25">
      <c r="E33" s="86" t="s">
        <v>12</v>
      </c>
      <c r="F33" s="86"/>
      <c r="G33" s="86"/>
    </row>
    <row r="34" spans="4:7" ht="21" customHeight="1" x14ac:dyDescent="0.25"/>
    <row r="35" spans="4:7" x14ac:dyDescent="0.25">
      <c r="D35" t="s">
        <v>13</v>
      </c>
    </row>
  </sheetData>
  <mergeCells count="3">
    <mergeCell ref="D29:E29"/>
    <mergeCell ref="C32:F32"/>
    <mergeCell ref="E33:G33"/>
  </mergeCells>
  <printOptions horizontalCentered="1"/>
  <pageMargins left="0.19685039370078741" right="0.31496062992125984" top="0.15748031496062992" bottom="0.35433070866141736" header="0.31496062992125984" footer="0.31496062992125984"/>
  <pageSetup scale="92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80C2-C508-438D-8903-3FD4306B53AF}">
  <dimension ref="B4:G37"/>
  <sheetViews>
    <sheetView view="pageBreakPreview" zoomScale="115" zoomScaleNormal="100" zoomScaleSheetLayoutView="115" workbookViewId="0">
      <selection activeCell="G18" sqref="G18"/>
    </sheetView>
  </sheetViews>
  <sheetFormatPr baseColWidth="10" defaultColWidth="10.7109375" defaultRowHeight="15" x14ac:dyDescent="0.25"/>
  <cols>
    <col min="1" max="1" width="3.85546875" customWidth="1"/>
    <col min="2" max="2" width="5.42578125" customWidth="1"/>
    <col min="3" max="3" width="18.140625" customWidth="1"/>
    <col min="4" max="4" width="29.140625" customWidth="1"/>
    <col min="5" max="5" width="9.140625" customWidth="1"/>
    <col min="6" max="6" width="19.5703125" customWidth="1"/>
    <col min="7" max="7" width="15.85546875" customWidth="1"/>
    <col min="8" max="8" width="8.140625" customWidth="1"/>
  </cols>
  <sheetData>
    <row r="4" spans="2:7" ht="65.25" customHeight="1" x14ac:dyDescent="0.25"/>
    <row r="5" spans="2:7" ht="12.75" customHeight="1" x14ac:dyDescent="0.25">
      <c r="C5" s="1" t="s">
        <v>2</v>
      </c>
      <c r="D5" t="s">
        <v>30</v>
      </c>
      <c r="F5" s="1" t="s">
        <v>6</v>
      </c>
      <c r="G5" s="3">
        <v>45386</v>
      </c>
    </row>
    <row r="6" spans="2:7" ht="12.75" customHeight="1" x14ac:dyDescent="0.25">
      <c r="C6" s="1" t="s">
        <v>1</v>
      </c>
      <c r="D6" t="s">
        <v>38</v>
      </c>
      <c r="F6" s="1" t="s">
        <v>7</v>
      </c>
      <c r="G6" s="6">
        <f>G32</f>
        <v>18310</v>
      </c>
    </row>
    <row r="7" spans="2:7" ht="11.25" customHeight="1" x14ac:dyDescent="0.25">
      <c r="D7" t="s">
        <v>39</v>
      </c>
      <c r="F7" s="1" t="s">
        <v>8</v>
      </c>
      <c r="G7" s="1" t="s">
        <v>32</v>
      </c>
    </row>
    <row r="8" spans="2:7" ht="12.75" customHeight="1" x14ac:dyDescent="0.25">
      <c r="C8" s="1" t="s">
        <v>5</v>
      </c>
      <c r="D8" s="4" t="s">
        <v>37</v>
      </c>
      <c r="F8" s="1" t="s">
        <v>10</v>
      </c>
      <c r="G8" s="3">
        <f>G5+15</f>
        <v>45401</v>
      </c>
    </row>
    <row r="9" spans="2:7" x14ac:dyDescent="0.25">
      <c r="F9" s="1" t="s">
        <v>92</v>
      </c>
    </row>
    <row r="12" spans="2:7" x14ac:dyDescent="0.25">
      <c r="B12" s="24">
        <v>5</v>
      </c>
      <c r="C12" s="24" t="s">
        <v>89</v>
      </c>
      <c r="D12" s="24" t="s">
        <v>90</v>
      </c>
      <c r="E12" s="2"/>
      <c r="F12" s="73">
        <v>3662</v>
      </c>
      <c r="G12" s="60">
        <f>F12*B12</f>
        <v>18310</v>
      </c>
    </row>
    <row r="13" spans="2:7" x14ac:dyDescent="0.25">
      <c r="B13" s="24"/>
      <c r="C13" s="24"/>
      <c r="D13" s="24"/>
      <c r="E13" s="2"/>
      <c r="F13" s="25"/>
      <c r="G13" s="14"/>
    </row>
    <row r="14" spans="2:7" x14ac:dyDescent="0.25">
      <c r="B14" s="24"/>
      <c r="C14" s="24"/>
      <c r="D14" s="24"/>
      <c r="E14" s="2"/>
      <c r="F14" s="25"/>
      <c r="G14" s="14"/>
    </row>
    <row r="15" spans="2:7" x14ac:dyDescent="0.25">
      <c r="B15" s="24"/>
      <c r="C15" s="24"/>
      <c r="D15" s="24"/>
      <c r="E15" s="2"/>
      <c r="F15" s="25"/>
      <c r="G15" s="14"/>
    </row>
    <row r="16" spans="2:7" x14ac:dyDescent="0.25">
      <c r="B16" s="24"/>
      <c r="C16" s="24"/>
      <c r="D16" s="24"/>
      <c r="F16" s="25"/>
      <c r="G16" s="14"/>
    </row>
    <row r="17" spans="2:7" x14ac:dyDescent="0.25">
      <c r="B17" s="24"/>
      <c r="C17" s="24"/>
      <c r="D17" s="24"/>
      <c r="F17" s="25"/>
      <c r="G17" s="14"/>
    </row>
    <row r="18" spans="2:7" x14ac:dyDescent="0.25">
      <c r="B18" s="24"/>
      <c r="C18" s="24"/>
      <c r="D18" s="24"/>
      <c r="F18" s="25"/>
      <c r="G18" s="14"/>
    </row>
    <row r="19" spans="2:7" x14ac:dyDescent="0.25">
      <c r="B19" s="24"/>
      <c r="C19" s="24"/>
      <c r="D19" s="24"/>
      <c r="F19" s="25"/>
      <c r="G19" s="14"/>
    </row>
    <row r="20" spans="2:7" x14ac:dyDescent="0.25">
      <c r="B20" s="24"/>
      <c r="C20" s="24"/>
      <c r="D20" s="24"/>
      <c r="F20" s="25"/>
      <c r="G20" s="14"/>
    </row>
    <row r="21" spans="2:7" x14ac:dyDescent="0.25">
      <c r="B21" s="24"/>
      <c r="C21" s="24"/>
      <c r="D21" s="24"/>
      <c r="F21" s="25"/>
      <c r="G21" s="14"/>
    </row>
    <row r="22" spans="2:7" x14ac:dyDescent="0.25">
      <c r="C22" s="12"/>
      <c r="D22" s="12"/>
      <c r="F22" s="6"/>
      <c r="G22" s="6"/>
    </row>
    <row r="23" spans="2:7" x14ac:dyDescent="0.25">
      <c r="C23" s="12"/>
      <c r="D23" s="12"/>
      <c r="F23" s="6"/>
      <c r="G23" s="6"/>
    </row>
    <row r="24" spans="2:7" x14ac:dyDescent="0.25">
      <c r="C24" s="9"/>
      <c r="D24" s="2"/>
      <c r="F24" s="6"/>
      <c r="G24" s="6"/>
    </row>
    <row r="25" spans="2:7" x14ac:dyDescent="0.25">
      <c r="C25" s="9"/>
      <c r="D25" s="2"/>
      <c r="F25" s="6"/>
      <c r="G25" s="6"/>
    </row>
    <row r="26" spans="2:7" x14ac:dyDescent="0.25">
      <c r="C26" s="9"/>
      <c r="D26" s="2"/>
      <c r="F26" s="6"/>
      <c r="G26" s="6"/>
    </row>
    <row r="27" spans="2:7" x14ac:dyDescent="0.25">
      <c r="C27" s="5"/>
      <c r="D27" s="2"/>
      <c r="F27" s="6"/>
      <c r="G27" s="6"/>
    </row>
    <row r="28" spans="2:7" x14ac:dyDescent="0.25">
      <c r="C28" s="5"/>
      <c r="D28" s="2"/>
      <c r="F28" s="6"/>
      <c r="G28" s="6"/>
    </row>
    <row r="29" spans="2:7" x14ac:dyDescent="0.25">
      <c r="C29" s="5"/>
      <c r="D29" s="2"/>
      <c r="F29" s="6"/>
      <c r="G29" s="6"/>
    </row>
    <row r="30" spans="2:7" x14ac:dyDescent="0.25">
      <c r="C30" s="5"/>
      <c r="D30" s="2"/>
      <c r="F30" s="6"/>
      <c r="G30" s="6"/>
    </row>
    <row r="31" spans="2:7" x14ac:dyDescent="0.25">
      <c r="F31" s="1"/>
      <c r="G31" s="6"/>
    </row>
    <row r="32" spans="2:7" ht="14.25" customHeight="1" x14ac:dyDescent="0.25">
      <c r="C32" s="1" t="s">
        <v>11</v>
      </c>
      <c r="D32" s="88" t="s">
        <v>91</v>
      </c>
      <c r="E32" s="88"/>
      <c r="F32" s="1" t="s">
        <v>17</v>
      </c>
      <c r="G32" s="32">
        <f>G12+G14+G15+G16+G17+G18+G19+G20+G13</f>
        <v>18310</v>
      </c>
    </row>
    <row r="33" spans="3:7" x14ac:dyDescent="0.25">
      <c r="D33" s="2"/>
      <c r="F33" s="1"/>
      <c r="G33" s="8"/>
    </row>
    <row r="34" spans="3:7" x14ac:dyDescent="0.25">
      <c r="C34" s="86" t="s">
        <v>93</v>
      </c>
      <c r="D34" s="86"/>
      <c r="E34" s="86"/>
      <c r="F34" s="86"/>
    </row>
    <row r="35" spans="3:7" x14ac:dyDescent="0.25">
      <c r="E35" s="86" t="s">
        <v>12</v>
      </c>
      <c r="F35" s="86"/>
      <c r="G35" s="86"/>
    </row>
    <row r="36" spans="3:7" ht="21" customHeight="1" x14ac:dyDescent="0.25"/>
    <row r="37" spans="3:7" x14ac:dyDescent="0.25">
      <c r="D37" t="s">
        <v>13</v>
      </c>
    </row>
  </sheetData>
  <mergeCells count="3">
    <mergeCell ref="D32:E32"/>
    <mergeCell ref="C34:F34"/>
    <mergeCell ref="E35:G35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9324-4310-4E8D-BCB4-BEC2DAF4BA7A}">
  <dimension ref="B4:G35"/>
  <sheetViews>
    <sheetView tabSelected="1" view="pageBreakPreview" zoomScale="115" zoomScaleNormal="100" zoomScaleSheetLayoutView="115" workbookViewId="0">
      <selection activeCell="G19" sqref="G19"/>
    </sheetView>
  </sheetViews>
  <sheetFormatPr baseColWidth="10" defaultColWidth="10.7109375" defaultRowHeight="15" x14ac:dyDescent="0.25"/>
  <cols>
    <col min="1" max="1" width="6" customWidth="1"/>
    <col min="2" max="2" width="5" customWidth="1"/>
    <col min="3" max="3" width="18.140625" customWidth="1"/>
    <col min="4" max="4" width="29.42578125" customWidth="1"/>
    <col min="5" max="5" width="12" customWidth="1"/>
    <col min="6" max="6" width="15.140625" style="30" customWidth="1"/>
    <col min="7" max="7" width="14.85546875" style="36" customWidth="1"/>
    <col min="8" max="8" width="8.140625" customWidth="1"/>
  </cols>
  <sheetData>
    <row r="4" spans="2:7" ht="78" customHeight="1" x14ac:dyDescent="0.25">
      <c r="G4" s="74"/>
    </row>
    <row r="5" spans="2:7" ht="12.75" customHeight="1" x14ac:dyDescent="0.25">
      <c r="C5" s="1" t="s">
        <v>2</v>
      </c>
      <c r="D5" t="s">
        <v>56</v>
      </c>
      <c r="E5" t="s">
        <v>60</v>
      </c>
      <c r="F5" s="31" t="s">
        <v>6</v>
      </c>
      <c r="G5" s="3">
        <v>45974</v>
      </c>
    </row>
    <row r="6" spans="2:7" ht="12.75" customHeight="1" x14ac:dyDescent="0.25">
      <c r="C6" s="1" t="s">
        <v>1</v>
      </c>
      <c r="D6" t="s">
        <v>57</v>
      </c>
      <c r="F6" s="31" t="s">
        <v>7</v>
      </c>
      <c r="G6" s="32">
        <f>G29</f>
        <v>11560</v>
      </c>
    </row>
    <row r="7" spans="2:7" ht="11.25" customHeight="1" x14ac:dyDescent="0.25">
      <c r="D7" t="s">
        <v>58</v>
      </c>
      <c r="F7" s="31" t="s">
        <v>8</v>
      </c>
      <c r="G7" s="37" t="s">
        <v>130</v>
      </c>
    </row>
    <row r="8" spans="2:7" ht="12.75" customHeight="1" x14ac:dyDescent="0.25">
      <c r="C8" s="1" t="s">
        <v>59</v>
      </c>
      <c r="D8" s="4" t="s">
        <v>169</v>
      </c>
      <c r="F8" s="31" t="s">
        <v>10</v>
      </c>
      <c r="G8" s="3">
        <f>G5+60</f>
        <v>46034</v>
      </c>
    </row>
    <row r="11" spans="2:7" x14ac:dyDescent="0.25">
      <c r="B11" s="9"/>
      <c r="C11" s="12"/>
      <c r="D11" s="12"/>
      <c r="E11" s="2"/>
      <c r="F11" s="42"/>
      <c r="G11" s="32"/>
    </row>
    <row r="12" spans="2:7" x14ac:dyDescent="0.25">
      <c r="B12" s="9">
        <v>3</v>
      </c>
      <c r="C12" s="12" t="s">
        <v>170</v>
      </c>
      <c r="D12" s="12" t="s">
        <v>171</v>
      </c>
      <c r="E12" s="2"/>
      <c r="F12" s="42">
        <v>1830</v>
      </c>
      <c r="G12" s="32">
        <f t="shared" ref="G12:G13" si="0">F12*B12</f>
        <v>5490</v>
      </c>
    </row>
    <row r="13" spans="2:7" ht="30" x14ac:dyDescent="0.25">
      <c r="B13" s="9">
        <v>5</v>
      </c>
      <c r="C13" s="12" t="s">
        <v>172</v>
      </c>
      <c r="D13" s="12" t="s">
        <v>173</v>
      </c>
      <c r="E13" s="2"/>
      <c r="F13" s="42">
        <v>1214</v>
      </c>
      <c r="G13" s="32">
        <f t="shared" si="0"/>
        <v>6070</v>
      </c>
    </row>
    <row r="14" spans="2:7" x14ac:dyDescent="0.25">
      <c r="B14" s="9"/>
      <c r="C14" s="12"/>
      <c r="D14" s="12"/>
      <c r="E14" s="2"/>
      <c r="F14" s="42"/>
      <c r="G14" s="32"/>
    </row>
    <row r="15" spans="2:7" x14ac:dyDescent="0.25">
      <c r="B15" s="9"/>
      <c r="C15" s="12"/>
      <c r="D15" s="12"/>
      <c r="F15" s="42"/>
      <c r="G15" s="32"/>
    </row>
    <row r="16" spans="2:7" x14ac:dyDescent="0.25">
      <c r="B16" s="9"/>
      <c r="C16" s="12"/>
      <c r="D16" s="12"/>
      <c r="F16" s="32"/>
      <c r="G16" s="32"/>
    </row>
    <row r="17" spans="2:7" x14ac:dyDescent="0.25">
      <c r="C17" s="12"/>
      <c r="D17" s="12"/>
      <c r="F17" s="32"/>
      <c r="G17" s="38"/>
    </row>
    <row r="18" spans="2:7" x14ac:dyDescent="0.25">
      <c r="C18" s="12"/>
      <c r="D18" s="12"/>
      <c r="F18" s="32"/>
      <c r="G18" s="38"/>
    </row>
    <row r="19" spans="2:7" x14ac:dyDescent="0.25">
      <c r="C19" s="12"/>
      <c r="D19" s="12"/>
      <c r="F19" s="32"/>
      <c r="G19" s="38"/>
    </row>
    <row r="20" spans="2:7" x14ac:dyDescent="0.25">
      <c r="C20" s="12"/>
      <c r="D20" s="12"/>
      <c r="F20" s="32"/>
      <c r="G20" s="38"/>
    </row>
    <row r="21" spans="2:7" x14ac:dyDescent="0.25">
      <c r="C21" s="12"/>
      <c r="D21" s="12"/>
      <c r="F21" s="32"/>
      <c r="G21" s="38"/>
    </row>
    <row r="22" spans="2:7" ht="14.25" customHeight="1" x14ac:dyDescent="0.25">
      <c r="C22" s="9"/>
      <c r="D22" s="2"/>
      <c r="F22" s="32"/>
      <c r="G22" s="38"/>
    </row>
    <row r="23" spans="2:7" ht="14.25" customHeight="1" x14ac:dyDescent="0.25">
      <c r="C23" s="9"/>
      <c r="D23" s="2"/>
      <c r="F23" s="32"/>
      <c r="G23" s="38"/>
    </row>
    <row r="24" spans="2:7" x14ac:dyDescent="0.25">
      <c r="C24" s="9"/>
      <c r="D24" s="2"/>
      <c r="F24" s="32"/>
      <c r="G24" s="38"/>
    </row>
    <row r="25" spans="2:7" x14ac:dyDescent="0.25">
      <c r="C25" s="5"/>
      <c r="D25" s="2"/>
      <c r="F25" s="32"/>
      <c r="G25" s="38"/>
    </row>
    <row r="26" spans="2:7" x14ac:dyDescent="0.25">
      <c r="C26" s="5"/>
      <c r="D26" s="2"/>
      <c r="F26" s="32"/>
      <c r="G26" s="38"/>
    </row>
    <row r="27" spans="2:7" x14ac:dyDescent="0.25">
      <c r="C27" s="5"/>
      <c r="D27" s="2"/>
      <c r="F27" s="32"/>
      <c r="G27" s="38"/>
    </row>
    <row r="28" spans="2:7" x14ac:dyDescent="0.25">
      <c r="F28" s="31"/>
      <c r="G28" s="38"/>
    </row>
    <row r="29" spans="2:7" x14ac:dyDescent="0.25">
      <c r="B29" t="s">
        <v>11</v>
      </c>
      <c r="C29" s="88" t="s">
        <v>174</v>
      </c>
      <c r="D29" s="88"/>
      <c r="E29" s="88"/>
      <c r="F29" s="31" t="s">
        <v>17</v>
      </c>
      <c r="G29" s="32">
        <f>SUM(G11:G28)</f>
        <v>11560</v>
      </c>
    </row>
    <row r="30" spans="2:7" x14ac:dyDescent="0.25">
      <c r="D30" s="4"/>
      <c r="F30" s="31"/>
    </row>
    <row r="32" spans="2:7" x14ac:dyDescent="0.25">
      <c r="C32" s="86" t="s">
        <v>61</v>
      </c>
      <c r="D32" s="86"/>
      <c r="E32" s="86"/>
      <c r="F32" s="86"/>
    </row>
    <row r="33" spans="4:7" x14ac:dyDescent="0.25">
      <c r="E33" s="86" t="s">
        <v>12</v>
      </c>
      <c r="F33" s="86"/>
      <c r="G33" s="86"/>
    </row>
    <row r="34" spans="4:7" ht="21" customHeight="1" x14ac:dyDescent="0.25"/>
    <row r="35" spans="4:7" x14ac:dyDescent="0.25">
      <c r="D35" t="s">
        <v>49</v>
      </c>
    </row>
  </sheetData>
  <mergeCells count="3">
    <mergeCell ref="C32:F32"/>
    <mergeCell ref="E33:G33"/>
    <mergeCell ref="C29:E29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843E-2DC5-4CA6-B546-E58D80539263}">
  <dimension ref="B4:G36"/>
  <sheetViews>
    <sheetView view="pageBreakPreview" zoomScale="115" zoomScaleNormal="100" zoomScaleSheetLayoutView="115" workbookViewId="0">
      <selection activeCell="G20" sqref="G20"/>
    </sheetView>
  </sheetViews>
  <sheetFormatPr baseColWidth="10" defaultColWidth="10.7109375" defaultRowHeight="15" x14ac:dyDescent="0.25"/>
  <cols>
    <col min="1" max="1" width="3.85546875" customWidth="1"/>
    <col min="2" max="2" width="5.42578125" customWidth="1"/>
    <col min="3" max="3" width="18.140625" customWidth="1"/>
    <col min="4" max="4" width="29.140625" customWidth="1"/>
    <col min="5" max="5" width="13.28515625" customWidth="1"/>
    <col min="6" max="6" width="15.85546875" style="30" customWidth="1"/>
    <col min="7" max="7" width="15.85546875" style="36" customWidth="1"/>
    <col min="8" max="8" width="8.140625" customWidth="1"/>
  </cols>
  <sheetData>
    <row r="4" spans="2:7" ht="69.75" customHeight="1" x14ac:dyDescent="0.25"/>
    <row r="5" spans="2:7" ht="12.75" customHeight="1" x14ac:dyDescent="0.25">
      <c r="C5" s="1" t="s">
        <v>2</v>
      </c>
      <c r="D5" t="s">
        <v>56</v>
      </c>
      <c r="E5" t="s">
        <v>94</v>
      </c>
      <c r="F5" s="31" t="s">
        <v>6</v>
      </c>
      <c r="G5" s="3">
        <v>45968</v>
      </c>
    </row>
    <row r="6" spans="2:7" ht="12.75" customHeight="1" x14ac:dyDescent="0.25">
      <c r="C6" s="1" t="s">
        <v>1</v>
      </c>
      <c r="D6" t="s">
        <v>57</v>
      </c>
      <c r="F6" s="31" t="s">
        <v>7</v>
      </c>
      <c r="G6" s="32">
        <f>G30</f>
        <v>10000</v>
      </c>
    </row>
    <row r="7" spans="2:7" ht="11.25" customHeight="1" x14ac:dyDescent="0.25">
      <c r="D7" t="s">
        <v>58</v>
      </c>
      <c r="F7" s="31" t="s">
        <v>8</v>
      </c>
      <c r="G7" s="37" t="s">
        <v>32</v>
      </c>
    </row>
    <row r="8" spans="2:7" ht="12.75" customHeight="1" x14ac:dyDescent="0.25">
      <c r="C8" s="1" t="s">
        <v>59</v>
      </c>
      <c r="D8" s="4" t="s">
        <v>156</v>
      </c>
      <c r="F8" s="31" t="s">
        <v>10</v>
      </c>
      <c r="G8" s="3">
        <f>G5+30</f>
        <v>45998</v>
      </c>
    </row>
    <row r="12" spans="2:7" ht="24" customHeight="1" x14ac:dyDescent="0.25">
      <c r="B12" s="9">
        <v>1</v>
      </c>
      <c r="C12" s="12" t="s">
        <v>157</v>
      </c>
      <c r="D12" s="11" t="s">
        <v>158</v>
      </c>
      <c r="E12" s="2"/>
      <c r="F12" s="42">
        <v>10000</v>
      </c>
      <c r="G12" s="32">
        <f>F12*B12</f>
        <v>10000</v>
      </c>
    </row>
    <row r="13" spans="2:7" x14ac:dyDescent="0.25">
      <c r="B13" s="9"/>
      <c r="C13" s="12"/>
      <c r="D13" s="12"/>
      <c r="E13" s="2"/>
      <c r="F13" s="42"/>
      <c r="G13" s="32"/>
    </row>
    <row r="14" spans="2:7" x14ac:dyDescent="0.25">
      <c r="B14" s="2"/>
      <c r="C14" s="12"/>
      <c r="D14" s="12"/>
      <c r="E14" s="2"/>
      <c r="F14" s="32"/>
      <c r="G14" s="32"/>
    </row>
    <row r="15" spans="2:7" x14ac:dyDescent="0.25">
      <c r="B15" s="9"/>
      <c r="C15" s="12"/>
      <c r="D15" s="12"/>
      <c r="F15" s="32"/>
      <c r="G15" s="32"/>
    </row>
    <row r="16" spans="2:7" x14ac:dyDescent="0.25">
      <c r="B16" s="9"/>
      <c r="C16" s="12"/>
      <c r="D16" s="12"/>
      <c r="F16" s="32"/>
      <c r="G16" s="32"/>
    </row>
    <row r="17" spans="2:7" x14ac:dyDescent="0.25">
      <c r="B17" s="9"/>
      <c r="C17" s="12"/>
      <c r="D17" s="12"/>
      <c r="F17" s="32"/>
      <c r="G17" s="32"/>
    </row>
    <row r="18" spans="2:7" x14ac:dyDescent="0.25">
      <c r="B18" s="9"/>
      <c r="C18" s="12"/>
      <c r="D18" s="12"/>
      <c r="F18" s="32"/>
      <c r="G18" s="32"/>
    </row>
    <row r="19" spans="2:7" x14ac:dyDescent="0.25">
      <c r="C19" s="12"/>
      <c r="D19" s="12"/>
      <c r="F19" s="32"/>
      <c r="G19" s="38"/>
    </row>
    <row r="20" spans="2:7" x14ac:dyDescent="0.25">
      <c r="C20" s="12"/>
      <c r="D20" s="12"/>
      <c r="F20" s="32"/>
      <c r="G20" s="38"/>
    </row>
    <row r="21" spans="2:7" x14ac:dyDescent="0.25">
      <c r="C21" s="12"/>
      <c r="D21" s="12"/>
      <c r="F21" s="32"/>
      <c r="G21" s="38"/>
    </row>
    <row r="22" spans="2:7" x14ac:dyDescent="0.25">
      <c r="C22" s="12"/>
      <c r="D22" s="12"/>
      <c r="F22" s="32"/>
      <c r="G22" s="38"/>
    </row>
    <row r="23" spans="2:7" x14ac:dyDescent="0.25">
      <c r="C23" s="12"/>
      <c r="D23" s="12"/>
      <c r="F23" s="32"/>
      <c r="G23" s="38"/>
    </row>
    <row r="24" spans="2:7" x14ac:dyDescent="0.25">
      <c r="C24" s="12"/>
      <c r="D24" s="12"/>
      <c r="F24" s="32"/>
      <c r="G24" s="38"/>
    </row>
    <row r="25" spans="2:7" x14ac:dyDescent="0.25">
      <c r="C25" s="9"/>
      <c r="D25" s="2"/>
      <c r="F25" s="32"/>
      <c r="G25" s="38"/>
    </row>
    <row r="26" spans="2:7" x14ac:dyDescent="0.25">
      <c r="C26" s="9"/>
      <c r="D26" s="2"/>
      <c r="F26" s="32"/>
      <c r="G26" s="38"/>
    </row>
    <row r="27" spans="2:7" x14ac:dyDescent="0.25">
      <c r="C27" s="5"/>
      <c r="D27" s="2"/>
      <c r="F27" s="32"/>
      <c r="G27" s="38"/>
    </row>
    <row r="28" spans="2:7" x14ac:dyDescent="0.25">
      <c r="C28" s="5"/>
      <c r="D28" s="2"/>
      <c r="F28" s="32"/>
      <c r="G28" s="38"/>
    </row>
    <row r="29" spans="2:7" x14ac:dyDescent="0.25">
      <c r="F29" s="31"/>
      <c r="G29" s="38"/>
    </row>
    <row r="30" spans="2:7" x14ac:dyDescent="0.25">
      <c r="B30" t="s">
        <v>11</v>
      </c>
      <c r="C30" s="88" t="s">
        <v>159</v>
      </c>
      <c r="D30" s="88"/>
      <c r="E30" s="88"/>
      <c r="F30" s="31" t="s">
        <v>17</v>
      </c>
      <c r="G30" s="32">
        <f>SUM(G12:G29)</f>
        <v>10000</v>
      </c>
    </row>
    <row r="31" spans="2:7" x14ac:dyDescent="0.25">
      <c r="D31" s="4"/>
      <c r="F31" s="31"/>
    </row>
    <row r="33" spans="3:7" x14ac:dyDescent="0.25">
      <c r="C33" s="86" t="s">
        <v>61</v>
      </c>
      <c r="D33" s="86"/>
      <c r="E33" s="86"/>
      <c r="F33" s="86"/>
    </row>
    <row r="34" spans="3:7" x14ac:dyDescent="0.25">
      <c r="E34" s="86" t="s">
        <v>12</v>
      </c>
      <c r="F34" s="86"/>
      <c r="G34" s="86"/>
    </row>
    <row r="35" spans="3:7" ht="21" customHeight="1" x14ac:dyDescent="0.25"/>
    <row r="36" spans="3:7" x14ac:dyDescent="0.25">
      <c r="D36" t="s">
        <v>49</v>
      </c>
    </row>
  </sheetData>
  <mergeCells count="3">
    <mergeCell ref="C30:E30"/>
    <mergeCell ref="C33:F33"/>
    <mergeCell ref="E34:G34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EFBD-C57A-4EA5-8E4C-9E7C5CFE6D69}">
  <dimension ref="B4:G36"/>
  <sheetViews>
    <sheetView view="pageBreakPreview" zoomScale="115" zoomScaleNormal="100" zoomScaleSheetLayoutView="115" workbookViewId="0">
      <selection activeCell="G7" sqref="G7"/>
    </sheetView>
  </sheetViews>
  <sheetFormatPr baseColWidth="10" defaultColWidth="10.7109375" defaultRowHeight="15" x14ac:dyDescent="0.25"/>
  <cols>
    <col min="1" max="1" width="3.85546875" customWidth="1"/>
    <col min="2" max="2" width="5.42578125" customWidth="1"/>
    <col min="3" max="3" width="18.140625" customWidth="1"/>
    <col min="4" max="4" width="29.140625" customWidth="1"/>
    <col min="5" max="5" width="13.28515625" customWidth="1"/>
    <col min="6" max="6" width="18" style="20" customWidth="1"/>
    <col min="7" max="7" width="15.85546875" customWidth="1"/>
    <col min="8" max="8" width="8.140625" customWidth="1"/>
  </cols>
  <sheetData>
    <row r="4" spans="2:7" ht="69.75" customHeight="1" x14ac:dyDescent="0.25"/>
    <row r="5" spans="2:7" ht="12.75" customHeight="1" x14ac:dyDescent="0.25">
      <c r="C5" s="1" t="s">
        <v>2</v>
      </c>
      <c r="D5" t="s">
        <v>44</v>
      </c>
      <c r="F5" s="21" t="s">
        <v>6</v>
      </c>
      <c r="G5" s="3">
        <v>45836</v>
      </c>
    </row>
    <row r="6" spans="2:7" ht="12.75" customHeight="1" x14ac:dyDescent="0.25">
      <c r="C6" s="1" t="s">
        <v>1</v>
      </c>
      <c r="D6" t="s">
        <v>45</v>
      </c>
      <c r="F6" s="21" t="s">
        <v>7</v>
      </c>
      <c r="G6" s="32">
        <f>G30</f>
        <v>62928</v>
      </c>
    </row>
    <row r="7" spans="2:7" ht="11.25" customHeight="1" x14ac:dyDescent="0.25">
      <c r="D7" t="s">
        <v>46</v>
      </c>
      <c r="F7" s="21" t="s">
        <v>8</v>
      </c>
      <c r="G7" s="1" t="s">
        <v>130</v>
      </c>
    </row>
    <row r="8" spans="2:7" ht="12.75" customHeight="1" x14ac:dyDescent="0.25">
      <c r="C8" s="1" t="s">
        <v>48</v>
      </c>
      <c r="D8" s="4" t="s">
        <v>114</v>
      </c>
      <c r="F8" s="21" t="s">
        <v>10</v>
      </c>
      <c r="G8" s="3">
        <f>G5+60</f>
        <v>45896</v>
      </c>
    </row>
    <row r="12" spans="2:7" ht="45" x14ac:dyDescent="0.25">
      <c r="B12">
        <v>57</v>
      </c>
      <c r="C12" s="12"/>
      <c r="D12" s="12" t="s">
        <v>113</v>
      </c>
      <c r="E12" s="2"/>
      <c r="F12" s="22">
        <v>1104</v>
      </c>
      <c r="G12" s="22">
        <f>F12*B12</f>
        <v>62928</v>
      </c>
    </row>
    <row r="13" spans="2:7" x14ac:dyDescent="0.25">
      <c r="C13" s="12"/>
      <c r="D13" s="12"/>
      <c r="E13" s="2"/>
      <c r="F13" s="22"/>
      <c r="G13" s="23"/>
    </row>
    <row r="14" spans="2:7" x14ac:dyDescent="0.25">
      <c r="C14" s="12"/>
      <c r="D14" s="12"/>
      <c r="E14" s="2"/>
      <c r="F14" s="22"/>
      <c r="G14" s="23"/>
    </row>
    <row r="15" spans="2:7" x14ac:dyDescent="0.25">
      <c r="C15" s="12"/>
      <c r="D15" s="12"/>
      <c r="E15" s="2"/>
      <c r="F15" s="22"/>
      <c r="G15" s="23"/>
    </row>
    <row r="16" spans="2:7" x14ac:dyDescent="0.25">
      <c r="C16" s="12"/>
      <c r="D16" s="12"/>
      <c r="F16" s="22"/>
      <c r="G16" s="23"/>
    </row>
    <row r="17" spans="3:7" x14ac:dyDescent="0.25">
      <c r="C17" s="12"/>
      <c r="D17" s="12"/>
      <c r="F17" s="22"/>
      <c r="G17" s="23"/>
    </row>
    <row r="18" spans="3:7" x14ac:dyDescent="0.25">
      <c r="C18" s="12"/>
      <c r="D18" s="12"/>
      <c r="F18" s="22"/>
      <c r="G18" s="23"/>
    </row>
    <row r="19" spans="3:7" x14ac:dyDescent="0.25">
      <c r="C19" s="12"/>
      <c r="D19" s="12"/>
      <c r="F19" s="22"/>
      <c r="G19" s="23"/>
    </row>
    <row r="20" spans="3:7" x14ac:dyDescent="0.25">
      <c r="C20" s="12"/>
      <c r="D20" s="12"/>
      <c r="F20" s="22"/>
      <c r="G20" s="23"/>
    </row>
    <row r="21" spans="3:7" x14ac:dyDescent="0.25">
      <c r="C21" s="12"/>
      <c r="D21" s="12"/>
      <c r="F21" s="22"/>
      <c r="G21" s="23"/>
    </row>
    <row r="22" spans="3:7" x14ac:dyDescent="0.25">
      <c r="C22" s="12"/>
      <c r="D22" s="12"/>
      <c r="F22" s="22"/>
      <c r="G22" s="23"/>
    </row>
    <row r="23" spans="3:7" x14ac:dyDescent="0.25">
      <c r="C23" s="12"/>
      <c r="D23" s="12"/>
      <c r="F23" s="22"/>
      <c r="G23" s="23"/>
    </row>
    <row r="24" spans="3:7" x14ac:dyDescent="0.25">
      <c r="C24" s="12"/>
      <c r="D24" s="12"/>
      <c r="F24" s="22"/>
      <c r="G24" s="23"/>
    </row>
    <row r="25" spans="3:7" x14ac:dyDescent="0.25">
      <c r="C25" s="9"/>
      <c r="D25" s="2"/>
      <c r="F25" s="22"/>
      <c r="G25" s="23"/>
    </row>
    <row r="26" spans="3:7" x14ac:dyDescent="0.25">
      <c r="C26" s="9"/>
      <c r="D26" s="2"/>
      <c r="F26" s="22"/>
      <c r="G26" s="23"/>
    </row>
    <row r="27" spans="3:7" x14ac:dyDescent="0.25">
      <c r="C27" s="5"/>
      <c r="D27" s="2"/>
      <c r="F27" s="22"/>
      <c r="G27" s="23"/>
    </row>
    <row r="28" spans="3:7" x14ac:dyDescent="0.25">
      <c r="C28" s="5"/>
      <c r="D28" s="2"/>
      <c r="F28" s="22"/>
      <c r="G28" s="23"/>
    </row>
    <row r="29" spans="3:7" x14ac:dyDescent="0.25">
      <c r="F29" s="21"/>
      <c r="G29" s="23"/>
    </row>
    <row r="30" spans="3:7" x14ac:dyDescent="0.25">
      <c r="C30" s="1" t="s">
        <v>11</v>
      </c>
      <c r="D30" s="88" t="s">
        <v>115</v>
      </c>
      <c r="E30" s="88"/>
      <c r="F30" s="21" t="s">
        <v>17</v>
      </c>
      <c r="G30" s="22">
        <f>G12+G14+G15+G16+G17+G18+G19+G20+G21+G22+G23+G24+G25+G26+G13</f>
        <v>62928</v>
      </c>
    </row>
    <row r="31" spans="3:7" x14ac:dyDescent="0.25">
      <c r="D31" s="88"/>
      <c r="E31" s="88"/>
      <c r="F31" s="21"/>
    </row>
    <row r="33" spans="3:7" x14ac:dyDescent="0.25">
      <c r="C33" s="86" t="s">
        <v>47</v>
      </c>
      <c r="D33" s="86"/>
      <c r="E33" s="86"/>
      <c r="F33" s="86"/>
    </row>
    <row r="34" spans="3:7" x14ac:dyDescent="0.25">
      <c r="E34" s="86" t="s">
        <v>12</v>
      </c>
      <c r="F34" s="86"/>
      <c r="G34" s="86"/>
    </row>
    <row r="35" spans="3:7" ht="21" customHeight="1" x14ac:dyDescent="0.25"/>
    <row r="36" spans="3:7" x14ac:dyDescent="0.25">
      <c r="D36" t="s">
        <v>49</v>
      </c>
    </row>
  </sheetData>
  <mergeCells count="4">
    <mergeCell ref="D30:E30"/>
    <mergeCell ref="C33:F33"/>
    <mergeCell ref="E34:G34"/>
    <mergeCell ref="D31:E31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J32"/>
  <sheetViews>
    <sheetView view="pageBreakPreview" zoomScale="115" zoomScaleNormal="100" zoomScaleSheetLayoutView="115" workbookViewId="0">
      <selection activeCell="C11" sqref="C11"/>
    </sheetView>
  </sheetViews>
  <sheetFormatPr baseColWidth="10" defaultColWidth="10.7109375" defaultRowHeight="15" x14ac:dyDescent="0.25"/>
  <cols>
    <col min="1" max="1" width="3.85546875" customWidth="1"/>
    <col min="2" max="2" width="5.5703125" customWidth="1"/>
    <col min="3" max="3" width="19" customWidth="1"/>
    <col min="4" max="4" width="35.28515625" customWidth="1"/>
    <col min="5" max="5" width="5.28515625" customWidth="1"/>
    <col min="6" max="6" width="16.85546875" style="47" customWidth="1"/>
    <col min="7" max="7" width="15.85546875" style="30" customWidth="1"/>
    <col min="8" max="8" width="8.140625" customWidth="1"/>
  </cols>
  <sheetData>
    <row r="4" spans="2:10" ht="69" customHeight="1" x14ac:dyDescent="0.25"/>
    <row r="5" spans="2:10" ht="12.75" customHeight="1" x14ac:dyDescent="0.25">
      <c r="C5" s="1" t="s">
        <v>2</v>
      </c>
      <c r="D5" t="s">
        <v>109</v>
      </c>
      <c r="F5" s="48" t="s">
        <v>6</v>
      </c>
      <c r="G5" s="3">
        <v>45785</v>
      </c>
    </row>
    <row r="6" spans="2:10" ht="12.75" customHeight="1" x14ac:dyDescent="0.25">
      <c r="C6" s="1" t="s">
        <v>1</v>
      </c>
      <c r="D6" s="4" t="s">
        <v>110</v>
      </c>
      <c r="F6" s="48" t="s">
        <v>7</v>
      </c>
      <c r="G6" s="32">
        <v>2892</v>
      </c>
    </row>
    <row r="7" spans="2:10" ht="11.25" customHeight="1" x14ac:dyDescent="0.25">
      <c r="D7" t="s">
        <v>111</v>
      </c>
      <c r="F7" s="48" t="s">
        <v>8</v>
      </c>
      <c r="G7" s="31"/>
    </row>
    <row r="8" spans="2:10" ht="12.75" customHeight="1" x14ac:dyDescent="0.25">
      <c r="C8" s="1" t="s">
        <v>5</v>
      </c>
      <c r="D8" s="7" t="s">
        <v>104</v>
      </c>
      <c r="F8" s="48" t="s">
        <v>10</v>
      </c>
      <c r="G8" s="31" t="s">
        <v>26</v>
      </c>
    </row>
    <row r="9" spans="2:10" x14ac:dyDescent="0.25">
      <c r="C9" s="1"/>
    </row>
    <row r="11" spans="2:10" ht="25.5" customHeight="1" x14ac:dyDescent="0.25">
      <c r="B11" s="44">
        <v>3</v>
      </c>
      <c r="C11" s="77" t="s">
        <v>106</v>
      </c>
      <c r="D11" s="76" t="s">
        <v>107</v>
      </c>
      <c r="E11" s="46"/>
      <c r="F11" s="75">
        <v>964</v>
      </c>
      <c r="G11" s="64">
        <f t="shared" ref="G11" si="0">F11*B11</f>
        <v>2892</v>
      </c>
    </row>
    <row r="12" spans="2:10" ht="36" customHeight="1" x14ac:dyDescent="0.25">
      <c r="B12" s="44"/>
      <c r="C12" s="65"/>
      <c r="D12" s="69"/>
      <c r="E12" s="67"/>
      <c r="F12" s="64"/>
      <c r="G12" s="64"/>
    </row>
    <row r="13" spans="2:10" ht="32.25" customHeight="1" x14ac:dyDescent="0.25">
      <c r="B13" s="44"/>
      <c r="C13" s="65"/>
      <c r="D13" s="66"/>
      <c r="E13" s="67"/>
      <c r="F13" s="64"/>
      <c r="G13" s="64"/>
    </row>
    <row r="14" spans="2:10" ht="24.75" customHeight="1" x14ac:dyDescent="0.25">
      <c r="B14" s="44"/>
      <c r="C14" s="65"/>
      <c r="D14" s="69"/>
      <c r="E14" s="40"/>
      <c r="F14" s="64"/>
      <c r="G14" s="64"/>
      <c r="J14" t="str">
        <f>UPPER(D12)</f>
        <v/>
      </c>
    </row>
    <row r="15" spans="2:10" ht="28.5" customHeight="1" x14ac:dyDescent="0.25">
      <c r="B15" s="44"/>
      <c r="C15" s="65"/>
      <c r="D15" s="69"/>
      <c r="E15" s="67"/>
      <c r="F15" s="64"/>
      <c r="G15" s="64"/>
    </row>
    <row r="16" spans="2:10" ht="29.25" customHeight="1" x14ac:dyDescent="0.25">
      <c r="B16" s="44"/>
      <c r="C16" s="65"/>
      <c r="D16" s="69"/>
      <c r="E16" s="67"/>
      <c r="F16" s="64"/>
      <c r="G16" s="64"/>
    </row>
    <row r="17" spans="2:7" ht="34.5" customHeight="1" x14ac:dyDescent="0.25">
      <c r="B17" s="44"/>
      <c r="C17" s="65"/>
      <c r="D17" s="66"/>
      <c r="E17" s="26"/>
      <c r="F17" s="64"/>
      <c r="G17" s="64"/>
    </row>
    <row r="18" spans="2:7" ht="14.25" customHeight="1" x14ac:dyDescent="0.25">
      <c r="B18" s="17"/>
      <c r="C18" s="15"/>
      <c r="D18" s="19"/>
      <c r="E18" s="10"/>
      <c r="F18" s="33"/>
      <c r="G18" s="33"/>
    </row>
    <row r="19" spans="2:7" ht="10.5" customHeight="1" x14ac:dyDescent="0.25">
      <c r="B19" s="17"/>
      <c r="C19" s="15"/>
      <c r="D19" s="19"/>
      <c r="E19" s="10"/>
      <c r="F19" s="33"/>
      <c r="G19" s="33"/>
    </row>
    <row r="20" spans="2:7" ht="13.5" customHeight="1" x14ac:dyDescent="0.25">
      <c r="B20" s="17"/>
      <c r="C20" s="15"/>
      <c r="D20" s="19"/>
      <c r="E20" s="10"/>
      <c r="F20" s="33"/>
      <c r="G20" s="33"/>
    </row>
    <row r="21" spans="2:7" ht="11.25" customHeight="1" x14ac:dyDescent="0.25">
      <c r="B21" s="17"/>
      <c r="C21" s="15"/>
      <c r="D21" s="19"/>
      <c r="E21" s="10"/>
      <c r="F21" s="33"/>
      <c r="G21" s="33"/>
    </row>
    <row r="22" spans="2:7" ht="9.75" customHeight="1" x14ac:dyDescent="0.25">
      <c r="B22" s="17"/>
      <c r="C22" s="7"/>
      <c r="D22" s="19"/>
      <c r="F22" s="33"/>
      <c r="G22" s="33"/>
    </row>
    <row r="23" spans="2:7" ht="8.25" customHeight="1" x14ac:dyDescent="0.25">
      <c r="B23" s="17"/>
      <c r="C23" s="7"/>
      <c r="F23" s="33"/>
      <c r="G23" s="33"/>
    </row>
    <row r="24" spans="2:7" ht="27.75" customHeight="1" x14ac:dyDescent="0.25">
      <c r="B24" s="16"/>
      <c r="C24" s="1" t="s">
        <v>11</v>
      </c>
      <c r="D24" s="90" t="s">
        <v>108</v>
      </c>
      <c r="E24" s="90"/>
      <c r="F24" s="68"/>
      <c r="G24" s="33">
        <v>2892</v>
      </c>
    </row>
    <row r="25" spans="2:7" x14ac:dyDescent="0.25">
      <c r="D25" s="88"/>
      <c r="E25" s="88"/>
    </row>
    <row r="26" spans="2:7" x14ac:dyDescent="0.25">
      <c r="D26" s="29"/>
      <c r="E26" s="29"/>
    </row>
    <row r="28" spans="2:7" x14ac:dyDescent="0.25">
      <c r="C28" s="88" t="s">
        <v>105</v>
      </c>
      <c r="D28" s="88"/>
      <c r="E28" s="88"/>
      <c r="F28" s="88"/>
      <c r="G28" s="88"/>
    </row>
    <row r="29" spans="2:7" x14ac:dyDescent="0.25">
      <c r="E29" s="86" t="s">
        <v>12</v>
      </c>
      <c r="F29" s="86"/>
      <c r="G29" s="86"/>
    </row>
    <row r="30" spans="2:7" x14ac:dyDescent="0.25">
      <c r="E30" s="2"/>
      <c r="F30" s="49"/>
      <c r="G30" s="34"/>
    </row>
    <row r="31" spans="2:7" ht="21" customHeight="1" x14ac:dyDescent="0.25">
      <c r="D31" t="s">
        <v>25</v>
      </c>
    </row>
    <row r="32" spans="2:7" x14ac:dyDescent="0.25">
      <c r="D32" t="s">
        <v>13</v>
      </c>
    </row>
  </sheetData>
  <mergeCells count="4">
    <mergeCell ref="D24:E24"/>
    <mergeCell ref="C28:G28"/>
    <mergeCell ref="E29:G29"/>
    <mergeCell ref="D25:E25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DA03-43C8-4054-8951-A1BC25D7AD4B}">
  <dimension ref="B4:G36"/>
  <sheetViews>
    <sheetView view="pageBreakPreview" zoomScale="115" zoomScaleNormal="100" zoomScaleSheetLayoutView="115" workbookViewId="0">
      <selection activeCell="G7" sqref="G7"/>
    </sheetView>
  </sheetViews>
  <sheetFormatPr baseColWidth="10" defaultColWidth="10.7109375" defaultRowHeight="15" x14ac:dyDescent="0.25"/>
  <cols>
    <col min="1" max="1" width="3.85546875" customWidth="1"/>
    <col min="2" max="2" width="5.42578125" customWidth="1"/>
    <col min="3" max="3" width="18.140625" customWidth="1"/>
    <col min="4" max="4" width="29.140625" customWidth="1"/>
    <col min="5" max="5" width="11.85546875" customWidth="1"/>
    <col min="6" max="6" width="15.85546875" style="30" customWidth="1"/>
    <col min="7" max="7" width="15.85546875" style="36" customWidth="1"/>
    <col min="8" max="8" width="8.140625" customWidth="1"/>
  </cols>
  <sheetData>
    <row r="4" spans="2:7" ht="66.75" customHeight="1" x14ac:dyDescent="0.25"/>
    <row r="5" spans="2:7" ht="12.75" customHeight="1" x14ac:dyDescent="0.25">
      <c r="C5" s="1" t="s">
        <v>2</v>
      </c>
      <c r="D5" t="s">
        <v>72</v>
      </c>
      <c r="E5" t="s">
        <v>75</v>
      </c>
      <c r="F5" s="31" t="s">
        <v>6</v>
      </c>
      <c r="G5" s="3">
        <v>45677</v>
      </c>
    </row>
    <row r="6" spans="2:7" ht="12.75" customHeight="1" x14ac:dyDescent="0.25">
      <c r="C6" s="1" t="s">
        <v>1</v>
      </c>
      <c r="D6" t="s">
        <v>73</v>
      </c>
      <c r="F6" s="31" t="s">
        <v>7</v>
      </c>
      <c r="G6" s="32">
        <f>G30</f>
        <v>119723</v>
      </c>
    </row>
    <row r="7" spans="2:7" ht="11.25" customHeight="1" x14ac:dyDescent="0.25">
      <c r="D7" t="s">
        <v>74</v>
      </c>
      <c r="F7" s="31" t="s">
        <v>8</v>
      </c>
      <c r="G7" s="37" t="s">
        <v>130</v>
      </c>
    </row>
    <row r="8" spans="2:7" ht="12.75" customHeight="1" x14ac:dyDescent="0.25">
      <c r="C8" s="1" t="s">
        <v>76</v>
      </c>
      <c r="D8" s="4" t="s">
        <v>71</v>
      </c>
      <c r="F8" s="31" t="s">
        <v>10</v>
      </c>
      <c r="G8" s="3">
        <f>G5+60</f>
        <v>45737</v>
      </c>
    </row>
    <row r="12" spans="2:7" ht="30" x14ac:dyDescent="0.25">
      <c r="B12" s="9">
        <v>39</v>
      </c>
      <c r="C12" s="12" t="s">
        <v>77</v>
      </c>
      <c r="D12" s="12" t="s">
        <v>79</v>
      </c>
      <c r="E12" s="2"/>
      <c r="F12" s="42">
        <v>2748.6536999999998</v>
      </c>
      <c r="G12" s="32">
        <f>F12*B12</f>
        <v>107197.49429999999</v>
      </c>
    </row>
    <row r="13" spans="2:7" x14ac:dyDescent="0.25">
      <c r="B13" s="9">
        <v>8</v>
      </c>
      <c r="C13" s="12" t="s">
        <v>78</v>
      </c>
      <c r="D13" s="12" t="s">
        <v>80</v>
      </c>
      <c r="E13" s="2"/>
      <c r="F13" s="42">
        <v>1565.6887999999999</v>
      </c>
      <c r="G13" s="32">
        <f>F13*B13</f>
        <v>12525.510399999999</v>
      </c>
    </row>
    <row r="14" spans="2:7" x14ac:dyDescent="0.25">
      <c r="B14" s="9"/>
      <c r="C14" s="12"/>
      <c r="D14" s="12"/>
      <c r="E14" s="2"/>
      <c r="F14" s="42"/>
      <c r="G14" s="32"/>
    </row>
    <row r="15" spans="2:7" x14ac:dyDescent="0.25">
      <c r="C15" s="12"/>
      <c r="D15" s="12"/>
      <c r="E15" s="2"/>
      <c r="F15" s="32"/>
      <c r="G15" s="38"/>
    </row>
    <row r="16" spans="2:7" x14ac:dyDescent="0.25">
      <c r="C16" s="12"/>
      <c r="D16" s="12"/>
      <c r="F16" s="32"/>
      <c r="G16" s="38"/>
    </row>
    <row r="17" spans="2:7" x14ac:dyDescent="0.25">
      <c r="C17" s="12"/>
      <c r="D17" s="12"/>
      <c r="F17" s="32"/>
      <c r="G17" s="38"/>
    </row>
    <row r="18" spans="2:7" x14ac:dyDescent="0.25">
      <c r="C18" s="12"/>
      <c r="D18" s="12"/>
      <c r="F18" s="32"/>
      <c r="G18" s="38"/>
    </row>
    <row r="19" spans="2:7" x14ac:dyDescent="0.25">
      <c r="C19" s="12"/>
      <c r="D19" s="12"/>
      <c r="F19" s="32"/>
      <c r="G19" s="38"/>
    </row>
    <row r="20" spans="2:7" x14ac:dyDescent="0.25">
      <c r="C20" s="12"/>
      <c r="D20" s="12"/>
      <c r="F20" s="32"/>
      <c r="G20" s="38"/>
    </row>
    <row r="21" spans="2:7" x14ac:dyDescent="0.25">
      <c r="C21" s="12"/>
      <c r="D21" s="12"/>
      <c r="F21" s="32"/>
      <c r="G21" s="38"/>
    </row>
    <row r="22" spans="2:7" x14ac:dyDescent="0.25">
      <c r="C22" s="12"/>
      <c r="D22" s="12"/>
      <c r="F22" s="32"/>
      <c r="G22" s="38"/>
    </row>
    <row r="23" spans="2:7" x14ac:dyDescent="0.25">
      <c r="C23" s="12"/>
      <c r="D23" s="12"/>
      <c r="F23" s="32"/>
      <c r="G23" s="38"/>
    </row>
    <row r="24" spans="2:7" x14ac:dyDescent="0.25">
      <c r="C24" s="12"/>
      <c r="D24" s="12"/>
      <c r="F24" s="32"/>
      <c r="G24" s="38"/>
    </row>
    <row r="25" spans="2:7" x14ac:dyDescent="0.25">
      <c r="C25" s="9"/>
      <c r="D25" s="2"/>
      <c r="F25" s="32"/>
      <c r="G25" s="38"/>
    </row>
    <row r="26" spans="2:7" x14ac:dyDescent="0.25">
      <c r="C26" s="9"/>
      <c r="D26" s="2"/>
      <c r="F26" s="32"/>
      <c r="G26" s="38"/>
    </row>
    <row r="27" spans="2:7" x14ac:dyDescent="0.25">
      <c r="C27" s="5"/>
      <c r="D27" s="2"/>
      <c r="F27" s="32"/>
      <c r="G27" s="38"/>
    </row>
    <row r="28" spans="2:7" x14ac:dyDescent="0.25">
      <c r="C28" s="5"/>
      <c r="D28" s="2"/>
      <c r="F28" s="32"/>
      <c r="G28" s="38"/>
    </row>
    <row r="29" spans="2:7" x14ac:dyDescent="0.25">
      <c r="F29" s="31"/>
      <c r="G29" s="38"/>
    </row>
    <row r="30" spans="2:7" x14ac:dyDescent="0.25">
      <c r="B30" t="s">
        <v>11</v>
      </c>
      <c r="C30" s="88" t="s">
        <v>82</v>
      </c>
      <c r="D30" s="88"/>
      <c r="E30" s="88"/>
      <c r="F30" s="31" t="s">
        <v>17</v>
      </c>
      <c r="G30" s="32">
        <v>119723</v>
      </c>
    </row>
    <row r="31" spans="2:7" x14ac:dyDescent="0.25">
      <c r="D31" s="4"/>
      <c r="F31" s="31"/>
    </row>
    <row r="33" spans="3:7" x14ac:dyDescent="0.25">
      <c r="C33" s="86" t="s">
        <v>81</v>
      </c>
      <c r="D33" s="86"/>
      <c r="E33" s="86"/>
      <c r="F33" s="86"/>
    </row>
    <row r="34" spans="3:7" x14ac:dyDescent="0.25">
      <c r="E34" s="86" t="s">
        <v>12</v>
      </c>
      <c r="F34" s="86"/>
      <c r="G34" s="86"/>
    </row>
    <row r="35" spans="3:7" ht="21" customHeight="1" x14ac:dyDescent="0.25"/>
    <row r="36" spans="3:7" x14ac:dyDescent="0.25">
      <c r="D36" t="s">
        <v>49</v>
      </c>
    </row>
  </sheetData>
  <mergeCells count="3">
    <mergeCell ref="C30:E30"/>
    <mergeCell ref="C33:F33"/>
    <mergeCell ref="E34:G34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E213-75DB-4E44-8508-BBA5B35B0B1B}">
  <dimension ref="B4:G35"/>
  <sheetViews>
    <sheetView view="pageBreakPreview" zoomScale="115" zoomScaleNormal="100" zoomScaleSheetLayoutView="115" workbookViewId="0">
      <selection activeCell="F4" sqref="F4"/>
    </sheetView>
  </sheetViews>
  <sheetFormatPr baseColWidth="10" defaultColWidth="10.7109375" defaultRowHeight="15" x14ac:dyDescent="0.25"/>
  <cols>
    <col min="1" max="1" width="3.85546875" customWidth="1"/>
    <col min="2" max="2" width="5.42578125" customWidth="1"/>
    <col min="3" max="3" width="18.140625" customWidth="1"/>
    <col min="4" max="4" width="31.5703125" customWidth="1"/>
    <col min="5" max="5" width="10.5703125" customWidth="1"/>
    <col min="6" max="6" width="18" style="20" customWidth="1"/>
    <col min="7" max="7" width="15.85546875" customWidth="1"/>
    <col min="8" max="8" width="8.140625" customWidth="1"/>
  </cols>
  <sheetData>
    <row r="4" spans="2:7" ht="79.5" customHeight="1" x14ac:dyDescent="0.25"/>
    <row r="5" spans="2:7" ht="12.75" customHeight="1" x14ac:dyDescent="0.25">
      <c r="C5" s="1" t="s">
        <v>2</v>
      </c>
      <c r="D5" t="s">
        <v>84</v>
      </c>
      <c r="F5" s="21" t="s">
        <v>6</v>
      </c>
      <c r="G5" s="3">
        <v>45840</v>
      </c>
    </row>
    <row r="6" spans="2:7" ht="12.75" customHeight="1" x14ac:dyDescent="0.25">
      <c r="C6" s="1" t="s">
        <v>1</v>
      </c>
      <c r="D6" t="s">
        <v>85</v>
      </c>
      <c r="F6" s="21" t="s">
        <v>7</v>
      </c>
      <c r="G6" s="32">
        <f>G29</f>
        <v>44160</v>
      </c>
    </row>
    <row r="7" spans="2:7" ht="11.25" customHeight="1" x14ac:dyDescent="0.25">
      <c r="D7" t="s">
        <v>86</v>
      </c>
      <c r="F7" s="21" t="s">
        <v>8</v>
      </c>
      <c r="G7" s="1" t="s">
        <v>130</v>
      </c>
    </row>
    <row r="8" spans="2:7" ht="12.75" customHeight="1" x14ac:dyDescent="0.25">
      <c r="C8" s="1" t="s">
        <v>83</v>
      </c>
      <c r="D8" s="4" t="s">
        <v>116</v>
      </c>
      <c r="F8" s="21" t="s">
        <v>10</v>
      </c>
      <c r="G8" s="3">
        <f>G5+60</f>
        <v>45900</v>
      </c>
    </row>
    <row r="12" spans="2:7" ht="45" x14ac:dyDescent="0.25">
      <c r="B12">
        <v>40</v>
      </c>
      <c r="C12" s="70"/>
      <c r="D12" s="12" t="s">
        <v>117</v>
      </c>
      <c r="E12" s="2"/>
      <c r="F12" s="32">
        <v>1104</v>
      </c>
      <c r="G12" s="32">
        <f>F12*B12</f>
        <v>44160</v>
      </c>
    </row>
    <row r="13" spans="2:7" x14ac:dyDescent="0.25">
      <c r="C13" s="70"/>
      <c r="D13" s="12"/>
      <c r="E13" s="2"/>
      <c r="F13" s="32"/>
      <c r="G13" s="32"/>
    </row>
    <row r="14" spans="2:7" x14ac:dyDescent="0.25">
      <c r="C14" s="12"/>
      <c r="D14" s="12"/>
      <c r="E14" s="2"/>
      <c r="F14" s="22"/>
      <c r="G14" s="23"/>
    </row>
    <row r="15" spans="2:7" x14ac:dyDescent="0.25">
      <c r="C15" s="12"/>
      <c r="D15" s="12"/>
      <c r="E15" s="2"/>
      <c r="F15" s="22"/>
      <c r="G15" s="23"/>
    </row>
    <row r="16" spans="2:7" x14ac:dyDescent="0.25">
      <c r="C16" s="12"/>
      <c r="D16" s="12"/>
      <c r="F16" s="22"/>
      <c r="G16" s="23"/>
    </row>
    <row r="17" spans="3:7" x14ac:dyDescent="0.25">
      <c r="C17" s="12"/>
      <c r="D17" s="12"/>
      <c r="F17" s="22"/>
      <c r="G17" s="23"/>
    </row>
    <row r="18" spans="3:7" x14ac:dyDescent="0.25">
      <c r="C18" s="12"/>
      <c r="D18" s="12"/>
      <c r="F18" s="22"/>
      <c r="G18" s="23"/>
    </row>
    <row r="19" spans="3:7" x14ac:dyDescent="0.25">
      <c r="C19" s="12"/>
      <c r="D19" s="12"/>
      <c r="F19" s="22"/>
      <c r="G19" s="23"/>
    </row>
    <row r="20" spans="3:7" x14ac:dyDescent="0.25">
      <c r="C20" s="12"/>
      <c r="D20" s="12"/>
      <c r="F20" s="22"/>
      <c r="G20" s="23"/>
    </row>
    <row r="21" spans="3:7" x14ac:dyDescent="0.25">
      <c r="C21" s="12"/>
      <c r="D21" s="12"/>
      <c r="F21" s="22"/>
      <c r="G21" s="23"/>
    </row>
    <row r="22" spans="3:7" x14ac:dyDescent="0.25">
      <c r="C22" s="12"/>
      <c r="D22" s="12"/>
      <c r="F22" s="22"/>
      <c r="G22" s="23"/>
    </row>
    <row r="23" spans="3:7" x14ac:dyDescent="0.25">
      <c r="C23" s="12"/>
      <c r="D23" s="12"/>
      <c r="F23" s="22"/>
      <c r="G23" s="23"/>
    </row>
    <row r="24" spans="3:7" x14ac:dyDescent="0.25">
      <c r="C24" s="9"/>
      <c r="D24" s="2"/>
      <c r="F24" s="22"/>
      <c r="G24" s="23"/>
    </row>
    <row r="25" spans="3:7" x14ac:dyDescent="0.25">
      <c r="C25" s="9"/>
      <c r="D25" s="2"/>
      <c r="F25" s="22"/>
      <c r="G25" s="23"/>
    </row>
    <row r="26" spans="3:7" x14ac:dyDescent="0.25">
      <c r="C26" s="5"/>
      <c r="D26" s="2"/>
      <c r="F26" s="22"/>
      <c r="G26" s="23"/>
    </row>
    <row r="27" spans="3:7" x14ac:dyDescent="0.25">
      <c r="C27" s="5"/>
      <c r="D27" s="2"/>
      <c r="F27" s="22"/>
      <c r="G27" s="23"/>
    </row>
    <row r="28" spans="3:7" x14ac:dyDescent="0.25">
      <c r="F28" s="21"/>
      <c r="G28" s="23"/>
    </row>
    <row r="29" spans="3:7" x14ac:dyDescent="0.25">
      <c r="C29" s="1" t="s">
        <v>11</v>
      </c>
      <c r="D29" s="88" t="s">
        <v>118</v>
      </c>
      <c r="E29" s="88"/>
      <c r="F29" s="21" t="s">
        <v>17</v>
      </c>
      <c r="G29" s="32">
        <f>G12+G14+G15+G16+G17+G18+G19+G20+G21+G22+G23+G24+G25+G13</f>
        <v>44160</v>
      </c>
    </row>
    <row r="30" spans="3:7" x14ac:dyDescent="0.25">
      <c r="D30" s="88" t="s">
        <v>119</v>
      </c>
      <c r="E30" s="88"/>
      <c r="F30" s="21"/>
    </row>
    <row r="32" spans="3:7" x14ac:dyDescent="0.25">
      <c r="C32" s="86" t="s">
        <v>87</v>
      </c>
      <c r="D32" s="86"/>
      <c r="E32" s="86"/>
      <c r="F32" s="86"/>
    </row>
    <row r="33" spans="4:7" x14ac:dyDescent="0.25">
      <c r="E33" s="86" t="s">
        <v>12</v>
      </c>
      <c r="F33" s="86"/>
      <c r="G33" s="86"/>
    </row>
    <row r="34" spans="4:7" ht="21" customHeight="1" x14ac:dyDescent="0.25"/>
    <row r="35" spans="4:7" x14ac:dyDescent="0.25">
      <c r="D35" t="s">
        <v>49</v>
      </c>
    </row>
  </sheetData>
  <mergeCells count="4">
    <mergeCell ref="D29:E29"/>
    <mergeCell ref="D30:E30"/>
    <mergeCell ref="C32:F32"/>
    <mergeCell ref="E33:G33"/>
  </mergeCells>
  <printOptions horizontalCentered="1"/>
  <pageMargins left="0.19685039370078741" right="0.31496062992125984" top="0.15748031496062992" bottom="0.35433070866141736" header="0.31496062992125984" footer="0.31496062992125984"/>
  <pageSetup scale="9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15</vt:i4>
      </vt:variant>
    </vt:vector>
  </HeadingPairs>
  <TitlesOfParts>
    <vt:vector size="30" baseType="lpstr">
      <vt:lpstr>Kaizen</vt:lpstr>
      <vt:lpstr>YS TEXTILES</vt:lpstr>
      <vt:lpstr>Texnica DOS</vt:lpstr>
      <vt:lpstr>TECNICA 1</vt:lpstr>
      <vt:lpstr>BC LOGISTIC SA</vt:lpstr>
      <vt:lpstr>Kentex</vt:lpstr>
      <vt:lpstr>Textiles Unlimited</vt:lpstr>
      <vt:lpstr>GF TEXTILES</vt:lpstr>
      <vt:lpstr>Istmo Textil</vt:lpstr>
      <vt:lpstr>Annic II</vt:lpstr>
      <vt:lpstr>Annic II (2)</vt:lpstr>
      <vt:lpstr>Gildan Chinandega</vt:lpstr>
      <vt:lpstr>Formato ventas Varias</vt:lpstr>
      <vt:lpstr>Gildan Rivas</vt:lpstr>
      <vt:lpstr>Gildan San marcos</vt:lpstr>
      <vt:lpstr>'Annic II'!Área_de_impresión</vt:lpstr>
      <vt:lpstr>'Annic II (2)'!Área_de_impresión</vt:lpstr>
      <vt:lpstr>'BC LOGISTIC SA'!Área_de_impresión</vt:lpstr>
      <vt:lpstr>'Formato ventas Varias'!Área_de_impresión</vt:lpstr>
      <vt:lpstr>'GF TEXTILES'!Área_de_impresión</vt:lpstr>
      <vt:lpstr>'Gildan Chinandega'!Área_de_impresión</vt:lpstr>
      <vt:lpstr>'Gildan Rivas'!Área_de_impresión</vt:lpstr>
      <vt:lpstr>'Gildan San marcos'!Área_de_impresión</vt:lpstr>
      <vt:lpstr>'Istmo Textil'!Área_de_impresión</vt:lpstr>
      <vt:lpstr>Kaizen!Área_de_impresión</vt:lpstr>
      <vt:lpstr>Kentex!Área_de_impresión</vt:lpstr>
      <vt:lpstr>'TECNICA 1'!Área_de_impresión</vt:lpstr>
      <vt:lpstr>'Texnica DOS'!Área_de_impresión</vt:lpstr>
      <vt:lpstr>'Textiles Unlimited'!Área_de_impresión</vt:lpstr>
      <vt:lpstr>'YS TEXTILES'!Área_de_impresión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</dc:creator>
  <cp:lastModifiedBy>Dustin Ayerdis</cp:lastModifiedBy>
  <cp:lastPrinted>2025-11-12T16:06:33Z</cp:lastPrinted>
  <dcterms:created xsi:type="dcterms:W3CDTF">2022-11-25T18:21:12Z</dcterms:created>
  <dcterms:modified xsi:type="dcterms:W3CDTF">2025-11-12T21:53:38Z</dcterms:modified>
</cp:coreProperties>
</file>